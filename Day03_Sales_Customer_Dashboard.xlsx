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xr:revisionPtr revIDLastSave="0" documentId="8_{C82BE200-3D53-4DF0-95D1-2B913B424559}" xr6:coauthVersionLast="47" xr6:coauthVersionMax="47" xr10:uidLastSave="{00000000-0000-0000-0000-000000000000}"/>
  <bookViews>
    <workbookView xWindow="240" yWindow="105" windowWidth="14805" windowHeight="8010" firstSheet="3" activeTab="4" xr2:uid="{00000000-000D-0000-FFFF-FFFF00000000}"/>
  </bookViews>
  <sheets>
    <sheet name="Raw_Data" sheetId="1" r:id="rId1"/>
    <sheet name="Cleaned_Data" sheetId="2" r:id="rId2"/>
    <sheet name="Pivot_Analysis" sheetId="5" r:id="rId3"/>
    <sheet name="Dashboard" sheetId="6" r:id="rId4"/>
    <sheet name="Pivot_Sales_Trend" sheetId="8" r:id="rId5"/>
  </sheets>
  <definedNames>
    <definedName name="Slicer_Clean_Category">#N/A</definedName>
    <definedName name="Slicer_Clean_City">#N/A</definedName>
  </definedNames>
  <calcPr calcId="191028"/>
  <pivotCaches>
    <pivotCache cacheId="60" r:id="rId6"/>
    <pivotCache cacheId="6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2" i="2"/>
  <c r="M3" i="2"/>
  <c r="M4" i="2"/>
  <c r="M5" i="2"/>
  <c r="M6" i="2"/>
  <c r="M7" i="2"/>
  <c r="M8" i="2"/>
  <c r="M9" i="2"/>
  <c r="M10" i="2"/>
  <c r="M2" i="2"/>
  <c r="L3" i="2"/>
  <c r="L4" i="2"/>
  <c r="L5" i="2"/>
  <c r="L6" i="2"/>
  <c r="L7" i="2"/>
  <c r="L8" i="2"/>
  <c r="L9" i="2"/>
  <c r="L10" i="2"/>
  <c r="L2" i="2"/>
  <c r="K3" i="2"/>
  <c r="K4" i="2"/>
  <c r="K5" i="2"/>
  <c r="K6" i="2"/>
  <c r="K7" i="2"/>
  <c r="K8" i="2"/>
  <c r="K9" i="2"/>
  <c r="K10" i="2"/>
  <c r="K2" i="2"/>
  <c r="J3" i="2"/>
  <c r="J4" i="2"/>
  <c r="J5" i="2"/>
  <c r="J6" i="2"/>
  <c r="J7" i="2"/>
  <c r="J8" i="2"/>
  <c r="J9" i="2"/>
  <c r="J10" i="2"/>
  <c r="J2" i="2"/>
</calcChain>
</file>

<file path=xl/sharedStrings.xml><?xml version="1.0" encoding="utf-8"?>
<sst xmlns="http://schemas.openxmlformats.org/spreadsheetml/2006/main" count="154" uniqueCount="59">
  <si>
    <t>Order_ID</t>
  </si>
  <si>
    <t>Order_Date</t>
  </si>
  <si>
    <t>Customer_Name</t>
  </si>
  <si>
    <t>City</t>
  </si>
  <si>
    <t>Region</t>
  </si>
  <si>
    <t>Category</t>
  </si>
  <si>
    <t>Sales</t>
  </si>
  <si>
    <t>Payment_Method</t>
  </si>
  <si>
    <t>Satisfaction_Score</t>
  </si>
  <si>
    <t>arun kumar</t>
  </si>
  <si>
    <t>chennai</t>
  </si>
  <si>
    <t>South</t>
  </si>
  <si>
    <t>Electronics</t>
  </si>
  <si>
    <t>UPI</t>
  </si>
  <si>
    <t>priya sharma</t>
  </si>
  <si>
    <t>mumbai</t>
  </si>
  <si>
    <t>West</t>
  </si>
  <si>
    <t>Furniture</t>
  </si>
  <si>
    <t>Card</t>
  </si>
  <si>
    <t>ravi verma</t>
  </si>
  <si>
    <t>delhi</t>
  </si>
  <si>
    <t>North</t>
  </si>
  <si>
    <t>Accessories</t>
  </si>
  <si>
    <t>Cash</t>
  </si>
  <si>
    <t>amit patel</t>
  </si>
  <si>
    <t>pooja sharma</t>
  </si>
  <si>
    <t>bangalore</t>
  </si>
  <si>
    <t>neha singh</t>
  </si>
  <si>
    <t>rahul mehta</t>
  </si>
  <si>
    <t>Clean_Customer_Name</t>
  </si>
  <si>
    <t>Clean_City</t>
  </si>
  <si>
    <t>Clean_Category</t>
  </si>
  <si>
    <t>Clean_Sales</t>
  </si>
  <si>
    <t>Order_Month</t>
  </si>
  <si>
    <t>Total Sales by City</t>
  </si>
  <si>
    <t>Sales by Category</t>
  </si>
  <si>
    <t>Average Satisfaction by Region</t>
  </si>
  <si>
    <t>Sum of Clean_Sales</t>
  </si>
  <si>
    <t>Sum of Satisfaction_Score</t>
  </si>
  <si>
    <t>Mumbai</t>
  </si>
  <si>
    <t>ACCESSORIES</t>
  </si>
  <si>
    <t>Grand Total</t>
  </si>
  <si>
    <t>ELECTRONICS</t>
  </si>
  <si>
    <t>FURNITURE</t>
  </si>
  <si>
    <t>Bangalore</t>
  </si>
  <si>
    <t>Chennai</t>
  </si>
  <si>
    <t>Delhi</t>
  </si>
  <si>
    <t>Chart 1: Sales by City</t>
  </si>
  <si>
    <t>Chart 2: Sales by Category</t>
  </si>
  <si>
    <t>Chart 3: Average Satisfaction by Region</t>
  </si>
  <si>
    <t>Apr-2024</t>
  </si>
  <si>
    <t>Aug-2024</t>
  </si>
  <si>
    <t>Feb-2024</t>
  </si>
  <si>
    <t>Jan-2024</t>
  </si>
  <si>
    <t>Jul-2024</t>
  </si>
  <si>
    <t>Jun-2024</t>
  </si>
  <si>
    <t>Mar-2024</t>
  </si>
  <si>
    <t>May-2024</t>
  </si>
  <si>
    <t>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</si>
</sst>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[Day03_Sales_Customer_Dashboard.xlsx]Pivot_Analysis!PivotTable6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Pivot_Analysis!$G$12:$G$17</c:f>
              <c:strCache>
                <c:ptCount val="5"/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Mumbai</c:v>
                </c:pt>
              </c:strCache>
            </c:strRef>
          </c:cat>
          <c:val>
            <c:numRef>
              <c:f>Pivot_Analysis!$H$12:$H$17</c:f>
              <c:numCache>
                <c:formatCode>General</c:formatCode>
                <c:ptCount val="5"/>
                <c:pt idx="0">
                  <c:v>29500</c:v>
                </c:pt>
                <c:pt idx="1">
                  <c:v>18000</c:v>
                </c:pt>
                <c:pt idx="2">
                  <c:v>12000</c:v>
                </c:pt>
                <c:pt idx="3">
                  <c:v>49800</c:v>
                </c:pt>
                <c:pt idx="4">
                  <c:v>82600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F-45B4-AC11-A64A7F412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55368"/>
        <c:axId val="1370257416"/>
      </c:barChart>
      <c:catAx>
        <c:axId val="137025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7416"/>
        <c:crosses val="autoZero"/>
        <c:auto val="1"/>
        <c:lblAlgn val="ctr"/>
        <c:lblOffset val="100"/>
        <c:noMultiLvlLbl val="0"/>
      </c:catAx>
      <c:valAx>
        <c:axId val="137025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[Day03_Sales_Customer_Dashboard.xlsx]Pivot_Analysis!PivotTable4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Pivot_Analysis!$D$4:$D$7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Pivot_Analysis!$E$4:$E$7</c:f>
              <c:numCache>
                <c:formatCode>General</c:formatCode>
                <c:ptCount val="3"/>
                <c:pt idx="0">
                  <c:v>13400</c:v>
                </c:pt>
                <c:pt idx="1">
                  <c:v>96000</c:v>
                </c:pt>
                <c:pt idx="2">
                  <c:v>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A-4910-A38A-337D4C00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554760"/>
        <c:axId val="1476556808"/>
      </c:barChart>
      <c:catAx>
        <c:axId val="147655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56808"/>
        <c:crosses val="autoZero"/>
        <c:auto val="1"/>
        <c:lblAlgn val="ctr"/>
        <c:lblOffset val="100"/>
        <c:noMultiLvlLbl val="0"/>
      </c:catAx>
      <c:valAx>
        <c:axId val="147655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5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[Day03_Sales_Customer_Dashboard.xlsx]Pivot_Analysis!PivotTable6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Satisfaction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Pivot_Analysis!$G$12:$G$17</c:f>
              <c:strCache>
                <c:ptCount val="5"/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Mumbai</c:v>
                </c:pt>
              </c:strCache>
            </c:strRef>
          </c:cat>
          <c:val>
            <c:numRef>
              <c:f>Pivot_Analysis!$H$12:$H$17</c:f>
              <c:numCache>
                <c:formatCode>General</c:formatCode>
                <c:ptCount val="5"/>
                <c:pt idx="0">
                  <c:v>29500</c:v>
                </c:pt>
                <c:pt idx="1">
                  <c:v>18000</c:v>
                </c:pt>
                <c:pt idx="2">
                  <c:v>12000</c:v>
                </c:pt>
                <c:pt idx="3">
                  <c:v>49800</c:v>
                </c:pt>
                <c:pt idx="4">
                  <c:v>82600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B-4782-8F99-27EDFF70B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33543"/>
        <c:axId val="1238279175"/>
      </c:barChart>
      <c:catAx>
        <c:axId val="98433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79175"/>
        <c:crosses val="autoZero"/>
        <c:auto val="1"/>
        <c:lblAlgn val="ctr"/>
        <c:lblOffset val="100"/>
        <c:noMultiLvlLbl val="0"/>
      </c:catAx>
      <c:valAx>
        <c:axId val="123827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[Day03_Sales_Customer_Dashboard.xlsx]Pivot_Sales_Trend!PivotTable1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Pivot_Sales_Trend!$A$4:$A$13</c:f>
              <c:strCache>
                <c:ptCount val="9"/>
                <c:pt idx="0">
                  <c:v>Apr-2024</c:v>
                </c:pt>
                <c:pt idx="1">
                  <c:v>Aug-2024</c:v>
                </c:pt>
                <c:pt idx="2">
                  <c:v>Feb-2024</c:v>
                </c:pt>
                <c:pt idx="3">
                  <c:v>Jan-2024</c:v>
                </c:pt>
                <c:pt idx="4">
                  <c:v>Jul-2024</c:v>
                </c:pt>
                <c:pt idx="5">
                  <c:v>Jun-2024</c:v>
                </c:pt>
                <c:pt idx="6">
                  <c:v>Mar-2024</c:v>
                </c:pt>
                <c:pt idx="7">
                  <c:v>May-2024</c:v>
                </c:pt>
                <c:pt idx="8">
                  <c:v>Sep-2024</c:v>
                </c:pt>
              </c:strCache>
            </c:strRef>
          </c:cat>
          <c:val>
            <c:numRef>
              <c:f>Pivot_Sales_Trend!$B$4:$B$13</c:f>
              <c:numCache>
                <c:formatCode>General</c:formatCode>
                <c:ptCount val="9"/>
                <c:pt idx="0">
                  <c:v>42000</c:v>
                </c:pt>
                <c:pt idx="1">
                  <c:v>0</c:v>
                </c:pt>
                <c:pt idx="2">
                  <c:v>35000</c:v>
                </c:pt>
                <c:pt idx="3">
                  <c:v>12000</c:v>
                </c:pt>
                <c:pt idx="4">
                  <c:v>42000</c:v>
                </c:pt>
                <c:pt idx="5">
                  <c:v>5600</c:v>
                </c:pt>
                <c:pt idx="6">
                  <c:v>7800</c:v>
                </c:pt>
                <c:pt idx="7">
                  <c:v>18000</c:v>
                </c:pt>
                <c:pt idx="8">
                  <c:v>29500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9-424C-8475-63A74C51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548296"/>
        <c:axId val="1273683464"/>
      </c:lineChart>
      <c:catAx>
        <c:axId val="127354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83464"/>
        <c:crosses val="autoZero"/>
        <c:auto val="1"/>
        <c:lblAlgn val="ctr"/>
        <c:lblOffset val="100"/>
        <c:noMultiLvlLbl val="0"/>
      </c:catAx>
      <c:valAx>
        <c:axId val="127368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4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1152525</xdr:colOff>
      <xdr:row>10</xdr:row>
      <xdr:rowOff>57150</xdr:rowOff>
    </xdr:from>
    <xdr:to>
      <xdr:col>3</xdr:col>
      <xdr:colOff>1162050</xdr:colOff>
      <xdr:row>24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ean_City">
              <a:extLst>
                <a:ext uri="{FF2B5EF4-FFF2-40B4-BE49-F238E27FC236}">
                  <a16:creationId xmlns:a16="http://schemas.microsoft.com/office/drawing/2014/main" id="{96654059-307A-E6BF-FB36-96672A8F4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_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875" y="1962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10</xdr:row>
      <xdr:rowOff>38100</xdr:rowOff>
    </xdr:from>
    <xdr:to>
      <xdr:col>1</xdr:col>
      <xdr:colOff>981075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lean_Category">
              <a:extLst>
                <a:ext uri="{FF2B5EF4-FFF2-40B4-BE49-F238E27FC236}">
                  <a16:creationId xmlns:a16="http://schemas.microsoft.com/office/drawing/2014/main" id="{C67CA30B-EC0B-9FC4-AAA0-559C8A242AA1}"/>
                </a:ext>
                <a:ext uri="{147F2762-F138-4A5C-976F-8EAC2B608ADB}">
                  <a16:predDERef xmlns:a16="http://schemas.microsoft.com/office/drawing/2014/main" pred="{96654059-307A-E6BF-FB36-96672A8F4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943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4</xdr:row>
      <xdr:rowOff>142875</xdr:rowOff>
    </xdr:from>
    <xdr:to>
      <xdr:col>6</xdr:col>
      <xdr:colOff>504825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AEEE8-AE10-21E7-617D-39D4B09AA3DB}"/>
            </a:ext>
            <a:ext uri="{147F2762-F138-4A5C-976F-8EAC2B608ADB}">
              <a16:predDERef xmlns:a16="http://schemas.microsoft.com/office/drawing/2014/main" pred="{C67CA30B-EC0B-9FC4-AAA0-559C8A242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4</xdr:row>
      <xdr:rowOff>66675</xdr:rowOff>
    </xdr:from>
    <xdr:to>
      <xdr:col>16</xdr:col>
      <xdr:colOff>142875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5B7E2-7F5B-8CF5-8D99-A812901841EA}"/>
            </a:ext>
            <a:ext uri="{147F2762-F138-4A5C-976F-8EAC2B608ADB}">
              <a16:predDERef xmlns:a16="http://schemas.microsoft.com/office/drawing/2014/main" pred="{7A4AEEE8-AE10-21E7-617D-39D4B09AA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1257300</xdr:colOff>
      <xdr:row>25</xdr:row>
      <xdr:rowOff>76200</xdr:rowOff>
    </xdr:from>
    <xdr:to>
      <xdr:col>9</xdr:col>
      <xdr:colOff>1152525</xdr:colOff>
      <xdr:row>39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F2E13E-FF0D-2C20-1A8F-6226602B2283}"/>
            </a:ext>
            <a:ext uri="{147F2762-F138-4A5C-976F-8EAC2B608ADB}">
              <a16:predDERef xmlns:a16="http://schemas.microsoft.com/office/drawing/2014/main" pred="{E455B7E2-7F5B-8CF5-8D99-A81290184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123825</xdr:rowOff>
    </xdr:from>
    <xdr:to>
      <xdr:col>11</xdr:col>
      <xdr:colOff>590550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7D93A-019B-FCD8-3A97-BFDAA8265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1213425923" createdVersion="8" refreshedVersion="8" minRefreshableVersion="3" recordCount="9" xr:uid="{8AF20AAA-2939-446B-A146-32C8D8815DC7}">
  <cacheSource type="worksheet">
    <worksheetSource ref="A1:M10" sheet="Cleaned_Data"/>
  </cacheSource>
  <cacheFields count="13">
    <cacheField name="Order_ID" numFmtId="0">
      <sharedItems containsSemiMixedTypes="0" containsString="0" containsNumber="1" containsInteger="1" minValue="1001" maxValue="1008"/>
    </cacheField>
    <cacheField name="Order_Date" numFmtId="14">
      <sharedItems containsSemiMixedTypes="0" containsNonDate="0" containsDate="1" containsString="0" minDate="2024-01-01T00:00:00" maxDate="2024-09-02T00:00:00" count="9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</sharedItems>
    </cacheField>
    <cacheField name="Customer_Name" numFmtId="0">
      <sharedItems/>
    </cacheField>
    <cacheField name="City" numFmtId="0">
      <sharedItems containsBlank="1"/>
    </cacheField>
    <cacheField name="Region" numFmtId="0">
      <sharedItems count="3">
        <s v="South"/>
        <s v="West"/>
        <s v="North"/>
      </sharedItems>
    </cacheField>
    <cacheField name="Category" numFmtId="0">
      <sharedItems/>
    </cacheField>
    <cacheField name="Sales" numFmtId="0">
      <sharedItems containsString="0" containsBlank="1" containsNumber="1" containsInteger="1" minValue="5600" maxValue="42000"/>
    </cacheField>
    <cacheField name="Payment_Method" numFmtId="0">
      <sharedItems/>
    </cacheField>
    <cacheField name="Satisfaction_Score" numFmtId="0">
      <sharedItems containsSemiMixedTypes="0" containsString="0" containsNumber="1" containsInteger="1" minValue="2" maxValue="5"/>
    </cacheField>
    <cacheField name="Clean_Customer_Name" numFmtId="0">
      <sharedItems/>
    </cacheField>
    <cacheField name="Clean_City" numFmtId="0">
      <sharedItems count="5">
        <s v="Chennai"/>
        <s v="Mumbai"/>
        <s v="Delhi"/>
        <s v="Bangalore"/>
        <s v=""/>
      </sharedItems>
    </cacheField>
    <cacheField name="Clean_Category" numFmtId="0">
      <sharedItems count="3">
        <s v="ELECTRONICS"/>
        <s v="FURNITURE"/>
        <s v="ACCESSORIES"/>
      </sharedItems>
    </cacheField>
    <cacheField name="Clean_Sales" numFmtId="0">
      <sharedItems containsSemiMixedTypes="0" containsString="0" containsNumber="1" containsInteger="1" minValue="0" maxValue="42000"/>
    </cacheField>
  </cacheFields>
  <extLst>
    <ext xmlns:x14="http://schemas.microsoft.com/office/spreadsheetml/2009/9/main" uri="{725AE2AE-9491-48be-B2B4-4EB974FC3084}">
      <x14:pivotCacheDefinition pivotCacheId="30153551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3610069442" createdVersion="8" refreshedVersion="8" minRefreshableVersion="3" recordCount="9" xr:uid="{10763CF5-AAD7-4A07-9B96-36A0C5D71BB6}">
  <cacheSource type="worksheet">
    <worksheetSource ref="A1:N10" sheet="Cleaned_Data"/>
  </cacheSource>
  <cacheFields count="14">
    <cacheField name="Order_ID" numFmtId="0">
      <sharedItems containsSemiMixedTypes="0" containsString="0" containsNumber="1" containsInteger="1" minValue="1001" maxValue="1008"/>
    </cacheField>
    <cacheField name="Order_Date" numFmtId="14">
      <sharedItems containsSemiMixedTypes="0" containsNonDate="0" containsDate="1" containsString="0" minDate="2024-01-01T00:00:00" maxDate="2024-09-02T00:00:00"/>
    </cacheField>
    <cacheField name="Customer_Name" numFmtId="0">
      <sharedItems/>
    </cacheField>
    <cacheField name="City" numFmtId="0">
      <sharedItems containsBlank="1"/>
    </cacheField>
    <cacheField name="Region" numFmtId="0">
      <sharedItems/>
    </cacheField>
    <cacheField name="Category" numFmtId="0">
      <sharedItems/>
    </cacheField>
    <cacheField name="Sales" numFmtId="0">
      <sharedItems containsString="0" containsBlank="1" containsNumber="1" containsInteger="1" minValue="5600" maxValue="42000"/>
    </cacheField>
    <cacheField name="Payment_Method" numFmtId="0">
      <sharedItems/>
    </cacheField>
    <cacheField name="Satisfaction_Score" numFmtId="0">
      <sharedItems containsSemiMixedTypes="0" containsString="0" containsNumber="1" containsInteger="1" minValue="2" maxValue="5"/>
    </cacheField>
    <cacheField name="Clean_Customer_Name" numFmtId="0">
      <sharedItems/>
    </cacheField>
    <cacheField name="Clean_City" numFmtId="0">
      <sharedItems/>
    </cacheField>
    <cacheField name="Clean_Category" numFmtId="0">
      <sharedItems/>
    </cacheField>
    <cacheField name="Clean_Sales" numFmtId="0">
      <sharedItems containsSemiMixedTypes="0" containsString="0" containsNumber="1" containsInteger="1" minValue="0" maxValue="42000"/>
    </cacheField>
    <cacheField name="Order_Month" numFmtId="0">
      <sharedItems count="9">
        <s v="Jan-2024"/>
        <s v="Feb-2024"/>
        <s v="Mar-2024"/>
        <s v="Apr-2024"/>
        <s v="May-2024"/>
        <s v="Jun-2024"/>
        <s v="Jul-2024"/>
        <s v="Aug-2024"/>
        <s v="Sep-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x v="0"/>
    <s v="arun kumar"/>
    <s v="chennai"/>
    <x v="0"/>
    <s v="Electronics"/>
    <n v="12000"/>
    <s v="UPI"/>
    <n v="4"/>
    <s v="Arun Kumar"/>
    <x v="0"/>
    <x v="0"/>
    <n v="12000"/>
  </r>
  <r>
    <n v="1002"/>
    <x v="1"/>
    <s v="priya sharma"/>
    <s v="mumbai"/>
    <x v="1"/>
    <s v="Furniture"/>
    <n v="35000"/>
    <s v="Card"/>
    <n v="5"/>
    <s v="Priya Sharma"/>
    <x v="1"/>
    <x v="1"/>
    <n v="35000"/>
  </r>
  <r>
    <n v="1003"/>
    <x v="2"/>
    <s v="ravi verma"/>
    <s v="delhi"/>
    <x v="2"/>
    <s v="Accessories"/>
    <n v="7800"/>
    <s v="Cash"/>
    <n v="3"/>
    <s v="Ravi Verma"/>
    <x v="2"/>
    <x v="2"/>
    <n v="7800"/>
  </r>
  <r>
    <n v="1004"/>
    <x v="3"/>
    <s v="amit patel"/>
    <s v="mumbai"/>
    <x v="1"/>
    <s v="Electronics"/>
    <n v="42000"/>
    <s v="UPI"/>
    <n v="5"/>
    <s v="Amit Patel"/>
    <x v="1"/>
    <x v="0"/>
    <n v="42000"/>
  </r>
  <r>
    <n v="1005"/>
    <x v="4"/>
    <s v="pooja sharma"/>
    <s v="bangalore"/>
    <x v="2"/>
    <s v="Furniture"/>
    <n v="18000"/>
    <s v="Card"/>
    <n v="4"/>
    <s v="Pooja Sharma"/>
    <x v="3"/>
    <x v="1"/>
    <n v="18000"/>
  </r>
  <r>
    <n v="1006"/>
    <x v="5"/>
    <s v="arun kumar"/>
    <s v="mumbai"/>
    <x v="0"/>
    <s v="Accessories"/>
    <n v="5600"/>
    <s v="Cash"/>
    <n v="2"/>
    <s v="Arun Kumar"/>
    <x v="1"/>
    <x v="2"/>
    <n v="5600"/>
  </r>
  <r>
    <n v="1004"/>
    <x v="6"/>
    <s v="amit patel"/>
    <s v="delhi"/>
    <x v="1"/>
    <s v="Electronics"/>
    <n v="42000"/>
    <s v="UPI"/>
    <n v="5"/>
    <s v="Amit Patel"/>
    <x v="2"/>
    <x v="0"/>
    <n v="42000"/>
  </r>
  <r>
    <n v="1007"/>
    <x v="7"/>
    <s v="neha singh"/>
    <s v="chennai"/>
    <x v="2"/>
    <s v="Electronics"/>
    <m/>
    <s v="Card"/>
    <n v="3"/>
    <s v="Neha Singh"/>
    <x v="0"/>
    <x v="0"/>
    <n v="0"/>
  </r>
  <r>
    <n v="1008"/>
    <x v="8"/>
    <s v="rahul mehta"/>
    <m/>
    <x v="0"/>
    <s v="Furniture"/>
    <n v="29500"/>
    <s v="UPI"/>
    <n v="4"/>
    <s v="Rahul Mehta"/>
    <x v="4"/>
    <x v="1"/>
    <n v="29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d v="2024-01-01T00:00:00"/>
    <s v="arun kumar"/>
    <s v="chennai"/>
    <s v="South"/>
    <s v="Electronics"/>
    <n v="12000"/>
    <s v="UPI"/>
    <n v="4"/>
    <s v="Arun Kumar"/>
    <s v="Chennai"/>
    <s v="ELECTRONICS"/>
    <n v="12000"/>
    <x v="0"/>
  </r>
  <r>
    <n v="1002"/>
    <d v="2024-02-01T00:00:00"/>
    <s v="priya sharma"/>
    <s v="mumbai"/>
    <s v="West"/>
    <s v="Furniture"/>
    <n v="35000"/>
    <s v="Card"/>
    <n v="5"/>
    <s v="Priya Sharma"/>
    <s v="Mumbai"/>
    <s v="FURNITURE"/>
    <n v="35000"/>
    <x v="1"/>
  </r>
  <r>
    <n v="1003"/>
    <d v="2024-03-01T00:00:00"/>
    <s v="ravi verma"/>
    <s v="delhi"/>
    <s v="North"/>
    <s v="Accessories"/>
    <n v="7800"/>
    <s v="Cash"/>
    <n v="3"/>
    <s v="Ravi Verma"/>
    <s v="Delhi"/>
    <s v="ACCESSORIES"/>
    <n v="7800"/>
    <x v="2"/>
  </r>
  <r>
    <n v="1004"/>
    <d v="2024-04-01T00:00:00"/>
    <s v="amit patel"/>
    <s v="mumbai"/>
    <s v="West"/>
    <s v="Electronics"/>
    <n v="42000"/>
    <s v="UPI"/>
    <n v="5"/>
    <s v="Amit Patel"/>
    <s v="Mumbai"/>
    <s v="ELECTRONICS"/>
    <n v="42000"/>
    <x v="3"/>
  </r>
  <r>
    <n v="1005"/>
    <d v="2024-05-01T00:00:00"/>
    <s v="pooja sharma"/>
    <s v="bangalore"/>
    <s v="North"/>
    <s v="Furniture"/>
    <n v="18000"/>
    <s v="Card"/>
    <n v="4"/>
    <s v="Pooja Sharma"/>
    <s v="Bangalore"/>
    <s v="FURNITURE"/>
    <n v="18000"/>
    <x v="4"/>
  </r>
  <r>
    <n v="1006"/>
    <d v="2024-06-01T00:00:00"/>
    <s v="arun kumar"/>
    <s v="mumbai"/>
    <s v="South"/>
    <s v="Accessories"/>
    <n v="5600"/>
    <s v="Cash"/>
    <n v="2"/>
    <s v="Arun Kumar"/>
    <s v="Mumbai"/>
    <s v="ACCESSORIES"/>
    <n v="5600"/>
    <x v="5"/>
  </r>
  <r>
    <n v="1004"/>
    <d v="2024-07-01T00:00:00"/>
    <s v="amit patel"/>
    <s v="delhi"/>
    <s v="West"/>
    <s v="Electronics"/>
    <n v="42000"/>
    <s v="UPI"/>
    <n v="5"/>
    <s v="Amit Patel"/>
    <s v="Delhi"/>
    <s v="ELECTRONICS"/>
    <n v="42000"/>
    <x v="6"/>
  </r>
  <r>
    <n v="1007"/>
    <d v="2024-08-01T00:00:00"/>
    <s v="neha singh"/>
    <s v="chennai"/>
    <s v="North"/>
    <s v="Electronics"/>
    <m/>
    <s v="Card"/>
    <n v="3"/>
    <s v="Neha Singh"/>
    <s v="Chennai"/>
    <s v="ELECTRONICS"/>
    <n v="0"/>
    <x v="7"/>
  </r>
  <r>
    <n v="1008"/>
    <d v="2024-09-01T00:00:00"/>
    <s v="rahul mehta"/>
    <m/>
    <s v="South"/>
    <s v="Furniture"/>
    <n v="29500"/>
    <s v="UPI"/>
    <n v="4"/>
    <s v="Rahul Mehta"/>
    <s v=""/>
    <s v="FURNITURE"/>
    <n v="295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C76EE-BAB5-45DD-A723-C6057EE07EB3}" name="PivotTable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4"/>
        <item h="1" x="3"/>
        <item h="1" x="0"/>
        <item h="1" x="2"/>
        <item x="1"/>
        <item t="default"/>
      </items>
    </pivotField>
    <pivotField compact="0" outline="0" showAll="0">
      <items count="4">
        <item x="2"/>
        <item h="1" x="0"/>
        <item h="1" x="1"/>
        <item t="default"/>
      </items>
    </pivotField>
    <pivotField dataField="1" compact="0" outline="0" showAll="0"/>
  </pivotFields>
  <rowFields count="1">
    <field x="10"/>
  </rowFields>
  <rowItems count="2">
    <i>
      <x v="4"/>
    </i>
    <i t="grand">
      <x/>
    </i>
  </rowItems>
  <colItems count="1">
    <i/>
  </colItems>
  <dataFields count="1">
    <dataField name="Sum of Clean_Sales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81585-49E4-434B-A60C-64EC73B149B8}" name="PivotTable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8">
  <location ref="G11:H17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dataField="1"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lean_Sales" fld="12" baseField="0" baseItem="0"/>
  </dataField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8CD95-563A-4EBA-B6E5-8D50CF84E3B2}" name="PivotTable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3:H7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tisfaction_Score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F1A53-7E99-4005-8D3E-261C1C9F72B7}" name="PivotTable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7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ean_Sales" fld="12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3BF94-455B-43B7-B091-2B492EDD8C7F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3" firstHeaderRow="1" firstDataRow="1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0">
        <item x="3"/>
        <item x="7"/>
        <item x="1"/>
        <item x="0"/>
        <item x="6"/>
        <item x="5"/>
        <item x="2"/>
        <item x="4"/>
        <item x="8"/>
        <item t="default"/>
      </items>
    </pivotField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lean_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City" xr10:uid="{C2F05DC9-7CE5-407C-A787-BFAC0989D130}" sourceName="Clean_City">
  <pivotTables>
    <pivotTable tabId="5" name="PivotTable2"/>
  </pivotTables>
  <data>
    <tabular pivotCacheId="301535512">
      <items count="5">
        <i x="2"/>
        <i x="1" s="1"/>
        <i x="4" nd="1"/>
        <i x="3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Category" xr10:uid="{23ABF753-F6C1-4241-B6DE-DEAC94609442}" sourceName="Clean_Category">
  <pivotTables>
    <pivotTable tabId="5" name="PivotTable2"/>
  </pivotTables>
  <data>
    <tabular pivotCacheId="301535512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_City" xr10:uid="{71741FF0-0055-470C-9211-5E3B6D3BDD13}" cache="Slicer_Clean_City" caption="Clean_City" rowHeight="228600"/>
  <slicer name="Clean_Category" xr10:uid="{F9B77A04-0223-404B-BD1C-03F4679CB2EF}" cache="Slicer_Clean_Category" caption="Clean_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2DF0D-BDDD-4A04-9926-53316357352F}" name="Table2" displayName="Table2" ref="A1:I10" totalsRowShown="0">
  <autoFilter ref="A1:I10" xr:uid="{5DB2DF0D-BDDD-4A04-9926-53316357352F}"/>
  <tableColumns count="9">
    <tableColumn id="1" xr3:uid="{36FD406F-8BD3-449F-8958-0E78CD7EFD1E}" name="Order_ID"/>
    <tableColumn id="2" xr3:uid="{049C8A39-1BFE-4B57-80D5-7A08D68FF68F}" name="Order_Date" dataDxfId="0"/>
    <tableColumn id="3" xr3:uid="{89B79657-0A15-4D7D-B1D6-0F7E7B89C57A}" name="Customer_Name"/>
    <tableColumn id="4" xr3:uid="{E55C2BEF-9D98-48CC-BC7F-BD49ECFCB250}" name="City"/>
    <tableColumn id="5" xr3:uid="{AA8719C4-EB83-4EAF-A840-C8508A7982A0}" name="Region"/>
    <tableColumn id="6" xr3:uid="{62FD99E3-A491-4CA4-A5A1-331B0B31AA21}" name="Category"/>
    <tableColumn id="7" xr3:uid="{81402176-A79A-4974-A8C3-A0741135E142}" name="Sales"/>
    <tableColumn id="8" xr3:uid="{5CDE20B3-AECC-44F5-A4ED-939A38EA5AA9}" name="Payment_Method"/>
    <tableColumn id="9" xr3:uid="{96AF74D6-85BB-48A3-BDE7-9DFD8BAC9D6A}" name="Satisfac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workbookViewId="0">
      <selection activeCell="F18" sqref="F18"/>
    </sheetView>
  </sheetViews>
  <sheetFormatPr defaultRowHeight="15"/>
  <cols>
    <col min="1" max="1" width="11.28515625" bestFit="1" customWidth="1"/>
    <col min="2" max="2" width="13.5703125" bestFit="1" customWidth="1"/>
    <col min="3" max="3" width="18.140625" bestFit="1" customWidth="1"/>
    <col min="4" max="4" width="11.140625" bestFit="1" customWidth="1"/>
    <col min="5" max="5" width="9.28515625" bestFit="1" customWidth="1"/>
    <col min="6" max="6" width="11.140625" bestFit="1" customWidth="1"/>
    <col min="8" max="8" width="19.28515625" bestFit="1" customWidth="1"/>
    <col min="9" max="9" width="19.5703125" bestFit="1" customWidth="1"/>
    <col min="22" max="22" width="16.7109375" bestFit="1" customWidth="1"/>
    <col min="25" max="25" width="16.85546875" bestFit="1" customWidth="1"/>
  </cols>
  <sheetData>
    <row r="1" spans="1: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Y1" t="s">
        <v>8</v>
      </c>
    </row>
    <row r="2" spans="1:25">
      <c r="A2">
        <v>1001</v>
      </c>
      <c r="B2" s="2">
        <v>45292</v>
      </c>
      <c r="C2" t="s">
        <v>9</v>
      </c>
      <c r="D2" t="s">
        <v>10</v>
      </c>
      <c r="E2" t="s">
        <v>11</v>
      </c>
      <c r="F2" t="s">
        <v>12</v>
      </c>
      <c r="G2">
        <v>12000</v>
      </c>
      <c r="H2" t="s">
        <v>13</v>
      </c>
      <c r="I2">
        <v>4</v>
      </c>
    </row>
    <row r="3" spans="1:25">
      <c r="A3">
        <v>1002</v>
      </c>
      <c r="B3" s="2">
        <v>45323</v>
      </c>
      <c r="C3" t="s">
        <v>14</v>
      </c>
      <c r="D3" t="s">
        <v>15</v>
      </c>
      <c r="E3" t="s">
        <v>16</v>
      </c>
      <c r="F3" t="s">
        <v>17</v>
      </c>
      <c r="G3">
        <v>35000</v>
      </c>
      <c r="H3" t="s">
        <v>18</v>
      </c>
      <c r="I3">
        <v>5</v>
      </c>
    </row>
    <row r="4" spans="1:25">
      <c r="A4">
        <v>1003</v>
      </c>
      <c r="B4" s="2">
        <v>45352</v>
      </c>
      <c r="C4" t="s">
        <v>19</v>
      </c>
      <c r="D4" t="s">
        <v>20</v>
      </c>
      <c r="E4" t="s">
        <v>21</v>
      </c>
      <c r="F4" t="s">
        <v>22</v>
      </c>
      <c r="G4">
        <v>7800</v>
      </c>
      <c r="H4" t="s">
        <v>23</v>
      </c>
      <c r="I4">
        <v>3</v>
      </c>
    </row>
    <row r="5" spans="1:25">
      <c r="A5">
        <v>1004</v>
      </c>
      <c r="B5" s="2">
        <v>45383</v>
      </c>
      <c r="C5" t="s">
        <v>24</v>
      </c>
      <c r="D5" t="s">
        <v>15</v>
      </c>
      <c r="E5" t="s">
        <v>16</v>
      </c>
      <c r="F5" t="s">
        <v>12</v>
      </c>
      <c r="G5">
        <v>42000</v>
      </c>
      <c r="H5" t="s">
        <v>13</v>
      </c>
      <c r="I5">
        <v>5</v>
      </c>
    </row>
    <row r="6" spans="1:25">
      <c r="A6">
        <v>1005</v>
      </c>
      <c r="B6" s="2">
        <v>45413</v>
      </c>
      <c r="C6" t="s">
        <v>25</v>
      </c>
      <c r="D6" t="s">
        <v>26</v>
      </c>
      <c r="E6" t="s">
        <v>21</v>
      </c>
      <c r="F6" t="s">
        <v>17</v>
      </c>
      <c r="G6">
        <v>18000</v>
      </c>
      <c r="H6" t="s">
        <v>18</v>
      </c>
      <c r="I6">
        <v>4</v>
      </c>
    </row>
    <row r="7" spans="1:25">
      <c r="A7">
        <v>1006</v>
      </c>
      <c r="B7" s="2">
        <v>45444</v>
      </c>
      <c r="C7" t="s">
        <v>9</v>
      </c>
      <c r="D7" t="s">
        <v>15</v>
      </c>
      <c r="E7" t="s">
        <v>11</v>
      </c>
      <c r="F7" t="s">
        <v>22</v>
      </c>
      <c r="G7">
        <v>5600</v>
      </c>
      <c r="H7" t="s">
        <v>23</v>
      </c>
      <c r="I7">
        <v>2</v>
      </c>
    </row>
    <row r="8" spans="1:25">
      <c r="A8">
        <v>1004</v>
      </c>
      <c r="B8" s="2">
        <v>45474</v>
      </c>
      <c r="C8" t="s">
        <v>24</v>
      </c>
      <c r="D8" t="s">
        <v>20</v>
      </c>
      <c r="E8" t="s">
        <v>16</v>
      </c>
      <c r="F8" t="s">
        <v>12</v>
      </c>
      <c r="G8">
        <v>42000</v>
      </c>
      <c r="H8" t="s">
        <v>13</v>
      </c>
      <c r="I8">
        <v>5</v>
      </c>
    </row>
    <row r="9" spans="1:25">
      <c r="A9">
        <v>1007</v>
      </c>
      <c r="B9" s="2">
        <v>45505</v>
      </c>
      <c r="C9" t="s">
        <v>27</v>
      </c>
      <c r="D9" t="s">
        <v>10</v>
      </c>
      <c r="E9" t="s">
        <v>21</v>
      </c>
      <c r="F9" t="s">
        <v>12</v>
      </c>
      <c r="H9" t="s">
        <v>18</v>
      </c>
      <c r="I9">
        <v>3</v>
      </c>
    </row>
    <row r="10" spans="1:25">
      <c r="A10">
        <v>1008</v>
      </c>
      <c r="B10" s="2">
        <v>45536</v>
      </c>
      <c r="C10" t="s">
        <v>28</v>
      </c>
      <c r="E10" t="s">
        <v>11</v>
      </c>
      <c r="F10" t="s">
        <v>17</v>
      </c>
      <c r="G10">
        <v>29500</v>
      </c>
      <c r="H10" t="s">
        <v>13</v>
      </c>
      <c r="I1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CDCA-1898-4C8A-9B29-44432A166C15}">
  <dimension ref="A1:N10"/>
  <sheetViews>
    <sheetView workbookViewId="0">
      <selection activeCell="N6" sqref="N6"/>
    </sheetView>
  </sheetViews>
  <sheetFormatPr defaultRowHeight="15"/>
  <cols>
    <col min="2" max="2" width="11.140625" bestFit="1" customWidth="1"/>
    <col min="3" max="3" width="15.5703125" bestFit="1" customWidth="1"/>
    <col min="6" max="6" width="10.28515625" bestFit="1" customWidth="1"/>
    <col min="8" max="8" width="16.7109375" bestFit="1" customWidth="1"/>
    <col min="9" max="9" width="16.85546875" bestFit="1" customWidth="1"/>
    <col min="10" max="10" width="21.5703125" bestFit="1" customWidth="1"/>
    <col min="11" max="11" width="15" bestFit="1" customWidth="1"/>
    <col min="12" max="12" width="14.5703125" bestFit="1" customWidth="1"/>
    <col min="13" max="13" width="11.140625" bestFit="1" customWidth="1"/>
    <col min="14" max="14" width="13" bestFit="1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>
      <c r="A2">
        <v>1001</v>
      </c>
      <c r="B2" s="2">
        <v>45292</v>
      </c>
      <c r="C2" t="s">
        <v>9</v>
      </c>
      <c r="D2" t="s">
        <v>10</v>
      </c>
      <c r="E2" t="s">
        <v>11</v>
      </c>
      <c r="F2" t="s">
        <v>12</v>
      </c>
      <c r="G2">
        <v>12000</v>
      </c>
      <c r="H2" t="s">
        <v>13</v>
      </c>
      <c r="I2">
        <v>4</v>
      </c>
      <c r="J2" t="str">
        <f>PROPER(TRIM(C2))</f>
        <v>Arun Kumar</v>
      </c>
      <c r="K2" t="str">
        <f>PROPER(TRIM(D2))</f>
        <v>Chennai</v>
      </c>
      <c r="L2" t="str">
        <f>UPPER(TRIM(F2))</f>
        <v>ELECTRONICS</v>
      </c>
      <c r="M2">
        <f>IF(G2=" ", 0, G2)</f>
        <v>12000</v>
      </c>
      <c r="N2" t="str">
        <f>TEXT(B2,"mmm-yyyy")</f>
        <v>Jan-2024</v>
      </c>
    </row>
    <row r="3" spans="1:14">
      <c r="A3">
        <v>1002</v>
      </c>
      <c r="B3" s="2">
        <v>45323</v>
      </c>
      <c r="C3" t="s">
        <v>14</v>
      </c>
      <c r="D3" t="s">
        <v>15</v>
      </c>
      <c r="E3" t="s">
        <v>16</v>
      </c>
      <c r="F3" t="s">
        <v>17</v>
      </c>
      <c r="G3">
        <v>35000</v>
      </c>
      <c r="H3" t="s">
        <v>18</v>
      </c>
      <c r="I3">
        <v>5</v>
      </c>
      <c r="J3" t="str">
        <f t="shared" ref="J3:J10" si="0">PROPER(TRIM(C3))</f>
        <v>Priya Sharma</v>
      </c>
      <c r="K3" t="str">
        <f t="shared" ref="K3:K10" si="1">PROPER(TRIM(D3))</f>
        <v>Mumbai</v>
      </c>
      <c r="L3" t="str">
        <f t="shared" ref="L3:L10" si="2">UPPER(TRIM(F3))</f>
        <v>FURNITURE</v>
      </c>
      <c r="M3">
        <f t="shared" ref="M3:M10" si="3">IF(G3=" ", 0, G3)</f>
        <v>35000</v>
      </c>
      <c r="N3" t="str">
        <f t="shared" ref="N3:N10" si="4">TEXT(B3,"mmm-yyyy")</f>
        <v>Feb-2024</v>
      </c>
    </row>
    <row r="4" spans="1:14">
      <c r="A4">
        <v>1003</v>
      </c>
      <c r="B4" s="2">
        <v>45352</v>
      </c>
      <c r="C4" t="s">
        <v>19</v>
      </c>
      <c r="D4" t="s">
        <v>20</v>
      </c>
      <c r="E4" t="s">
        <v>21</v>
      </c>
      <c r="F4" t="s">
        <v>22</v>
      </c>
      <c r="G4">
        <v>7800</v>
      </c>
      <c r="H4" t="s">
        <v>23</v>
      </c>
      <c r="I4">
        <v>3</v>
      </c>
      <c r="J4" t="str">
        <f t="shared" si="0"/>
        <v>Ravi Verma</v>
      </c>
      <c r="K4" t="str">
        <f t="shared" si="1"/>
        <v>Delhi</v>
      </c>
      <c r="L4" t="str">
        <f t="shared" si="2"/>
        <v>ACCESSORIES</v>
      </c>
      <c r="M4">
        <f t="shared" si="3"/>
        <v>7800</v>
      </c>
      <c r="N4" t="str">
        <f t="shared" si="4"/>
        <v>Mar-2024</v>
      </c>
    </row>
    <row r="5" spans="1:14">
      <c r="A5">
        <v>1004</v>
      </c>
      <c r="B5" s="2">
        <v>45383</v>
      </c>
      <c r="C5" t="s">
        <v>24</v>
      </c>
      <c r="D5" t="s">
        <v>15</v>
      </c>
      <c r="E5" t="s">
        <v>16</v>
      </c>
      <c r="F5" t="s">
        <v>12</v>
      </c>
      <c r="G5">
        <v>42000</v>
      </c>
      <c r="H5" t="s">
        <v>13</v>
      </c>
      <c r="I5">
        <v>5</v>
      </c>
      <c r="J5" t="str">
        <f t="shared" si="0"/>
        <v>Amit Patel</v>
      </c>
      <c r="K5" t="str">
        <f t="shared" si="1"/>
        <v>Mumbai</v>
      </c>
      <c r="L5" t="str">
        <f t="shared" si="2"/>
        <v>ELECTRONICS</v>
      </c>
      <c r="M5">
        <f t="shared" si="3"/>
        <v>42000</v>
      </c>
      <c r="N5" t="str">
        <f t="shared" si="4"/>
        <v>Apr-2024</v>
      </c>
    </row>
    <row r="6" spans="1:14">
      <c r="A6">
        <v>1005</v>
      </c>
      <c r="B6" s="2">
        <v>45413</v>
      </c>
      <c r="C6" t="s">
        <v>25</v>
      </c>
      <c r="D6" t="s">
        <v>26</v>
      </c>
      <c r="E6" t="s">
        <v>21</v>
      </c>
      <c r="F6" t="s">
        <v>17</v>
      </c>
      <c r="G6">
        <v>18000</v>
      </c>
      <c r="H6" t="s">
        <v>18</v>
      </c>
      <c r="I6">
        <v>4</v>
      </c>
      <c r="J6" t="str">
        <f t="shared" si="0"/>
        <v>Pooja Sharma</v>
      </c>
      <c r="K6" t="str">
        <f t="shared" si="1"/>
        <v>Bangalore</v>
      </c>
      <c r="L6" t="str">
        <f t="shared" si="2"/>
        <v>FURNITURE</v>
      </c>
      <c r="M6">
        <f t="shared" si="3"/>
        <v>18000</v>
      </c>
      <c r="N6" t="str">
        <f t="shared" si="4"/>
        <v>May-2024</v>
      </c>
    </row>
    <row r="7" spans="1:14">
      <c r="A7">
        <v>1006</v>
      </c>
      <c r="B7" s="2">
        <v>45444</v>
      </c>
      <c r="C7" t="s">
        <v>9</v>
      </c>
      <c r="D7" t="s">
        <v>15</v>
      </c>
      <c r="E7" t="s">
        <v>11</v>
      </c>
      <c r="F7" t="s">
        <v>22</v>
      </c>
      <c r="G7">
        <v>5600</v>
      </c>
      <c r="H7" t="s">
        <v>23</v>
      </c>
      <c r="I7">
        <v>2</v>
      </c>
      <c r="J7" t="str">
        <f t="shared" si="0"/>
        <v>Arun Kumar</v>
      </c>
      <c r="K7" t="str">
        <f t="shared" si="1"/>
        <v>Mumbai</v>
      </c>
      <c r="L7" t="str">
        <f t="shared" si="2"/>
        <v>ACCESSORIES</v>
      </c>
      <c r="M7">
        <f t="shared" si="3"/>
        <v>5600</v>
      </c>
      <c r="N7" t="str">
        <f t="shared" si="4"/>
        <v>Jun-2024</v>
      </c>
    </row>
    <row r="8" spans="1:14">
      <c r="A8">
        <v>1004</v>
      </c>
      <c r="B8" s="2">
        <v>45474</v>
      </c>
      <c r="C8" t="s">
        <v>24</v>
      </c>
      <c r="D8" t="s">
        <v>20</v>
      </c>
      <c r="E8" t="s">
        <v>16</v>
      </c>
      <c r="F8" t="s">
        <v>12</v>
      </c>
      <c r="G8">
        <v>42000</v>
      </c>
      <c r="H8" t="s">
        <v>13</v>
      </c>
      <c r="I8">
        <v>5</v>
      </c>
      <c r="J8" t="str">
        <f t="shared" si="0"/>
        <v>Amit Patel</v>
      </c>
      <c r="K8" t="str">
        <f t="shared" si="1"/>
        <v>Delhi</v>
      </c>
      <c r="L8" t="str">
        <f t="shared" si="2"/>
        <v>ELECTRONICS</v>
      </c>
      <c r="M8">
        <f t="shared" si="3"/>
        <v>42000</v>
      </c>
      <c r="N8" t="str">
        <f t="shared" si="4"/>
        <v>Jul-2024</v>
      </c>
    </row>
    <row r="9" spans="1:14">
      <c r="A9">
        <v>1007</v>
      </c>
      <c r="B9" s="2">
        <v>45505</v>
      </c>
      <c r="C9" t="s">
        <v>27</v>
      </c>
      <c r="D9" t="s">
        <v>10</v>
      </c>
      <c r="E9" t="s">
        <v>21</v>
      </c>
      <c r="F9" t="s">
        <v>12</v>
      </c>
      <c r="H9" t="s">
        <v>18</v>
      </c>
      <c r="I9">
        <v>3</v>
      </c>
      <c r="J9" t="str">
        <f t="shared" si="0"/>
        <v>Neha Singh</v>
      </c>
      <c r="K9" t="str">
        <f t="shared" si="1"/>
        <v>Chennai</v>
      </c>
      <c r="L9" t="str">
        <f t="shared" si="2"/>
        <v>ELECTRONICS</v>
      </c>
      <c r="M9">
        <f t="shared" si="3"/>
        <v>0</v>
      </c>
      <c r="N9" t="str">
        <f t="shared" si="4"/>
        <v>Aug-2024</v>
      </c>
    </row>
    <row r="10" spans="1:14">
      <c r="A10">
        <v>1008</v>
      </c>
      <c r="B10" s="2">
        <v>45536</v>
      </c>
      <c r="C10" t="s">
        <v>28</v>
      </c>
      <c r="E10" t="s">
        <v>11</v>
      </c>
      <c r="F10" t="s">
        <v>17</v>
      </c>
      <c r="G10">
        <v>29500</v>
      </c>
      <c r="H10" t="s">
        <v>13</v>
      </c>
      <c r="I10">
        <v>4</v>
      </c>
      <c r="J10" t="str">
        <f t="shared" si="0"/>
        <v>Rahul Mehta</v>
      </c>
      <c r="K10" t="str">
        <f t="shared" si="1"/>
        <v/>
      </c>
      <c r="L10" t="str">
        <f t="shared" si="2"/>
        <v>FURNITURE</v>
      </c>
      <c r="M10">
        <f t="shared" si="3"/>
        <v>29500</v>
      </c>
      <c r="N10" t="str">
        <f t="shared" si="4"/>
        <v>Sep-2024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99A6-C723-4F55-A08C-0860BC832388}">
  <dimension ref="A1:H17"/>
  <sheetViews>
    <sheetView workbookViewId="0">
      <selection activeCell="H14" sqref="H14"/>
    </sheetView>
  </sheetViews>
  <sheetFormatPr defaultRowHeight="15"/>
  <cols>
    <col min="1" max="1" width="13.42578125" bestFit="1" customWidth="1"/>
    <col min="2" max="2" width="18.140625" bestFit="1" customWidth="1"/>
    <col min="4" max="4" width="18" bestFit="1" customWidth="1"/>
    <col min="5" max="5" width="18.140625" bestFit="1" customWidth="1"/>
    <col min="7" max="7" width="13.42578125" bestFit="1" customWidth="1"/>
    <col min="8" max="8" width="18.140625" bestFit="1" customWidth="1"/>
  </cols>
  <sheetData>
    <row r="1" spans="1:8">
      <c r="A1" s="5" t="s">
        <v>34</v>
      </c>
      <c r="D1" s="5" t="s">
        <v>35</v>
      </c>
      <c r="G1" s="5" t="s">
        <v>36</v>
      </c>
    </row>
    <row r="3" spans="1:8">
      <c r="A3" s="3" t="s">
        <v>30</v>
      </c>
      <c r="B3" t="s">
        <v>37</v>
      </c>
      <c r="D3" s="3" t="s">
        <v>31</v>
      </c>
      <c r="E3" t="s">
        <v>37</v>
      </c>
      <c r="G3" s="3" t="s">
        <v>4</v>
      </c>
      <c r="H3" t="s">
        <v>38</v>
      </c>
    </row>
    <row r="4" spans="1:8">
      <c r="A4" t="s">
        <v>39</v>
      </c>
      <c r="B4" s="4">
        <v>5600</v>
      </c>
      <c r="D4" t="s">
        <v>40</v>
      </c>
      <c r="E4" s="4">
        <v>13400</v>
      </c>
      <c r="G4" t="s">
        <v>21</v>
      </c>
      <c r="H4" s="4">
        <v>10</v>
      </c>
    </row>
    <row r="5" spans="1:8">
      <c r="A5" t="s">
        <v>41</v>
      </c>
      <c r="B5" s="4">
        <v>5600</v>
      </c>
      <c r="D5" t="s">
        <v>42</v>
      </c>
      <c r="E5" s="4">
        <v>96000</v>
      </c>
      <c r="G5" t="s">
        <v>11</v>
      </c>
      <c r="H5" s="4">
        <v>10</v>
      </c>
    </row>
    <row r="6" spans="1:8">
      <c r="D6" t="s">
        <v>43</v>
      </c>
      <c r="E6" s="4">
        <v>82500</v>
      </c>
      <c r="G6" t="s">
        <v>16</v>
      </c>
      <c r="H6" s="4">
        <v>15</v>
      </c>
    </row>
    <row r="7" spans="1:8">
      <c r="D7" t="s">
        <v>41</v>
      </c>
      <c r="E7" s="4">
        <v>191900</v>
      </c>
      <c r="G7" t="s">
        <v>41</v>
      </c>
      <c r="H7" s="4">
        <v>35</v>
      </c>
    </row>
    <row r="10" spans="1:8">
      <c r="G10" s="5" t="s">
        <v>34</v>
      </c>
    </row>
    <row r="11" spans="1:8">
      <c r="G11" s="3" t="s">
        <v>30</v>
      </c>
      <c r="H11" t="s">
        <v>37</v>
      </c>
    </row>
    <row r="12" spans="1:8">
      <c r="H12" s="4">
        <v>29500</v>
      </c>
    </row>
    <row r="13" spans="1:8">
      <c r="G13" t="s">
        <v>44</v>
      </c>
      <c r="H13" s="4">
        <v>18000</v>
      </c>
    </row>
    <row r="14" spans="1:8">
      <c r="G14" t="s">
        <v>45</v>
      </c>
      <c r="H14" s="4">
        <v>12000</v>
      </c>
    </row>
    <row r="15" spans="1:8">
      <c r="G15" t="s">
        <v>46</v>
      </c>
      <c r="H15" s="4">
        <v>49800</v>
      </c>
    </row>
    <row r="16" spans="1:8">
      <c r="G16" t="s">
        <v>39</v>
      </c>
      <c r="H16" s="4">
        <v>82600</v>
      </c>
    </row>
    <row r="17" spans="7:8">
      <c r="G17" t="s">
        <v>41</v>
      </c>
      <c r="H17" s="4">
        <v>191900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4BC3-4960-483A-8BD5-932E557D09EE}">
  <dimension ref="A3:J23"/>
  <sheetViews>
    <sheetView topLeftCell="A3" workbookViewId="0">
      <selection activeCell="C34" sqref="C34"/>
    </sheetView>
  </sheetViews>
  <sheetFormatPr defaultRowHeight="15"/>
  <cols>
    <col min="1" max="1" width="19.42578125" bestFit="1" customWidth="1"/>
    <col min="4" max="4" width="35.85546875" bestFit="1" customWidth="1"/>
    <col min="10" max="10" width="24" bestFit="1" customWidth="1"/>
  </cols>
  <sheetData>
    <row r="3" spans="1:10">
      <c r="A3" s="5" t="s">
        <v>47</v>
      </c>
      <c r="J3" s="5" t="s">
        <v>48</v>
      </c>
    </row>
    <row r="23" spans="4:4">
      <c r="D23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C49D-5729-4B13-AABF-4A1EF34C1123}">
  <dimension ref="A3:B13"/>
  <sheetViews>
    <sheetView tabSelected="1" workbookViewId="0"/>
  </sheetViews>
  <sheetFormatPr defaultRowHeight="15"/>
  <cols>
    <col min="1" max="1" width="16.28515625" bestFit="1" customWidth="1"/>
    <col min="2" max="2" width="18.140625" bestFit="1" customWidth="1"/>
  </cols>
  <sheetData>
    <row r="3" spans="1:2">
      <c r="A3" s="3" t="s">
        <v>33</v>
      </c>
      <c r="B3" t="s">
        <v>37</v>
      </c>
    </row>
    <row r="4" spans="1:2">
      <c r="A4" t="s">
        <v>50</v>
      </c>
      <c r="B4" s="4">
        <v>42000</v>
      </c>
    </row>
    <row r="5" spans="1:2">
      <c r="A5" t="s">
        <v>51</v>
      </c>
      <c r="B5" s="4">
        <v>0</v>
      </c>
    </row>
    <row r="6" spans="1:2">
      <c r="A6" t="s">
        <v>52</v>
      </c>
      <c r="B6" s="4">
        <v>35000</v>
      </c>
    </row>
    <row r="7" spans="1:2">
      <c r="A7" t="s">
        <v>53</v>
      </c>
      <c r="B7" s="4">
        <v>12000</v>
      </c>
    </row>
    <row r="8" spans="1:2">
      <c r="A8" t="s">
        <v>54</v>
      </c>
      <c r="B8" s="4">
        <v>42000</v>
      </c>
    </row>
    <row r="9" spans="1:2">
      <c r="A9" t="s">
        <v>55</v>
      </c>
      <c r="B9" s="4">
        <v>5600</v>
      </c>
    </row>
    <row r="10" spans="1:2">
      <c r="A10" t="s">
        <v>56</v>
      </c>
      <c r="B10" s="4">
        <v>7800</v>
      </c>
    </row>
    <row r="11" spans="1:2">
      <c r="A11" t="s">
        <v>57</v>
      </c>
      <c r="B11" s="4">
        <v>18000</v>
      </c>
    </row>
    <row r="12" spans="1:2">
      <c r="A12" t="s">
        <v>58</v>
      </c>
      <c r="B12" s="4">
        <v>29500</v>
      </c>
    </row>
    <row r="13" spans="1:2">
      <c r="A13" t="s">
        <v>41</v>
      </c>
      <c r="B13" s="4">
        <v>191900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2026-02-10T09:16:16Z</dcterms:created>
  <dcterms:modified xsi:type="dcterms:W3CDTF">2026-02-10T11:02:42Z</dcterms:modified>
  <cp:category/>
  <cp:contentStatus/>
</cp:coreProperties>
</file>