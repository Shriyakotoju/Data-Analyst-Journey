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D8BC8E57-E1AD-44AB-BD78-4D719795D71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ales_Data" sheetId="1" r:id="rId1"/>
    <sheet name="Employees" sheetId="2" r:id="rId2"/>
  </sheets>
  <definedNames>
    <definedName name="_xlnm._FilterDatabase" localSheetId="1" hidden="1">Employees!$G$5:$G$5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23" i="2"/>
  <c r="E3" i="2"/>
  <c r="E4" i="2"/>
  <c r="E5" i="2"/>
  <c r="E6" i="2"/>
  <c r="E2" i="2"/>
  <c r="D6" i="2"/>
  <c r="D3" i="2"/>
  <c r="D4" i="2"/>
  <c r="D5" i="2"/>
  <c r="D2" i="2"/>
  <c r="N2" i="1"/>
  <c r="N9" i="1"/>
  <c r="N8" i="1"/>
  <c r="N6" i="1"/>
  <c r="N5" i="1"/>
  <c r="N4" i="1"/>
  <c r="N7" i="1"/>
  <c r="N3" i="1"/>
  <c r="M6" i="1"/>
  <c r="M8" i="1"/>
  <c r="M2" i="1"/>
  <c r="M9" i="1"/>
  <c r="M5" i="1"/>
  <c r="M4" i="1"/>
  <c r="M7" i="1"/>
  <c r="M3" i="1"/>
  <c r="B71" i="1"/>
  <c r="L6" i="1"/>
  <c r="L8" i="1"/>
  <c r="L2" i="1"/>
  <c r="L9" i="1"/>
  <c r="L5" i="1"/>
  <c r="L4" i="1"/>
  <c r="L7" i="1"/>
  <c r="L3" i="1"/>
  <c r="K6" i="1"/>
  <c r="K8" i="1"/>
  <c r="K2" i="1"/>
  <c r="K9" i="1"/>
  <c r="K5" i="1"/>
  <c r="K4" i="1"/>
  <c r="K7" i="1"/>
  <c r="K3" i="1"/>
  <c r="B62" i="1"/>
  <c r="B57" i="1" a="1"/>
  <c r="B57" i="1"/>
  <c r="J6" i="1"/>
  <c r="J8" i="1"/>
  <c r="J2" i="1"/>
  <c r="J9" i="1"/>
  <c r="J5" i="1"/>
  <c r="J4" i="1"/>
  <c r="J7" i="1"/>
  <c r="J3" i="1"/>
  <c r="I6" i="1"/>
  <c r="I8" i="1"/>
  <c r="I2" i="1"/>
  <c r="I9" i="1"/>
  <c r="I5" i="1"/>
  <c r="I4" i="1"/>
  <c r="I7" i="1"/>
  <c r="I3" i="1"/>
  <c r="H6" i="1"/>
  <c r="H8" i="1"/>
  <c r="H2" i="1"/>
  <c r="H9" i="1"/>
  <c r="H5" i="1"/>
  <c r="H4" i="1"/>
  <c r="H7" i="1"/>
  <c r="H3" i="1"/>
  <c r="B45" i="1"/>
  <c r="B42" i="1"/>
  <c r="B39" i="1"/>
  <c r="B36" i="1"/>
  <c r="B31" i="1"/>
  <c r="B25" i="1"/>
  <c r="B24" i="1"/>
  <c r="B28" i="1"/>
  <c r="B22" i="1"/>
  <c r="B21" i="1"/>
  <c r="B18" i="1"/>
  <c r="B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<sst xmlns="http://schemas.openxmlformats.org/spreadsheetml/2006/main" count="111" uniqueCount="88">
  <si>
    <r>
      <rPr>
        <b/>
        <sz val="11"/>
        <color rgb="FF000000"/>
        <rFont val="Aptos Narrow"/>
        <scheme val="minor"/>
      </rPr>
      <t>Order_ID</t>
    </r>
    <r>
      <rPr>
        <sz val="11"/>
        <color rgb="FF000000"/>
        <rFont val="Aptos Narrow"/>
        <scheme val="minor"/>
      </rPr>
      <t xml:space="preserve"> </t>
    </r>
  </si>
  <si>
    <t>Order_Date</t>
  </si>
  <si>
    <t>Region</t>
  </si>
  <si>
    <t xml:space="preserve"> Product</t>
  </si>
  <si>
    <t xml:space="preserve">Customer_Name </t>
  </si>
  <si>
    <t>Sales</t>
  </si>
  <si>
    <t>Employee_ID</t>
  </si>
  <si>
    <t>Sales_Level</t>
  </si>
  <si>
    <t>Bonus_Eligible</t>
  </si>
  <si>
    <t>Region East or North</t>
  </si>
  <si>
    <t>Clean Customer_Name</t>
  </si>
  <si>
    <t>Name_length</t>
  </si>
  <si>
    <t>First_Name</t>
  </si>
  <si>
    <t>Last _Name</t>
  </si>
  <si>
    <t>East</t>
  </si>
  <si>
    <t>Laptop</t>
  </si>
  <si>
    <t>Neha Singh</t>
  </si>
  <si>
    <t>EMP01</t>
  </si>
  <si>
    <t>arun kumar</t>
  </si>
  <si>
    <t>North</t>
  </si>
  <si>
    <t>pooja sharma</t>
  </si>
  <si>
    <t>EMP05</t>
  </si>
  <si>
    <t>West</t>
  </si>
  <si>
    <t>Tablet</t>
  </si>
  <si>
    <t>SURESH K</t>
  </si>
  <si>
    <t>EMP02</t>
  </si>
  <si>
    <t>Mobile</t>
  </si>
  <si>
    <t>PRIYA SHARMA</t>
  </si>
  <si>
    <t>rahul mehta</t>
  </si>
  <si>
    <t>EMP03</t>
  </si>
  <si>
    <t>ravi verma</t>
  </si>
  <si>
    <t>South</t>
  </si>
  <si>
    <t>amit patel</t>
  </si>
  <si>
    <t>EMP04</t>
  </si>
  <si>
    <t>Q &amp; A</t>
  </si>
  <si>
    <t>SECTION A: Basics &amp; Aggregation</t>
  </si>
  <si>
    <t>Find Total Sales?</t>
  </si>
  <si>
    <t>Find Average Sales?</t>
  </si>
  <si>
    <t>Find Maximum and Minimum Sales</t>
  </si>
  <si>
    <t>max</t>
  </si>
  <si>
    <t>min</t>
  </si>
  <si>
    <t>Find Top 2 sales values</t>
  </si>
  <si>
    <t>Count how many orders are present</t>
  </si>
  <si>
    <t>Count how many non-empty customer names</t>
  </si>
  <si>
    <t>SECTION - B: Conditional Calculations</t>
  </si>
  <si>
    <t>Find total sales for East region</t>
  </si>
  <si>
    <t>Find total sales for Laptop product</t>
  </si>
  <si>
    <t>Find total sales for East + Laptop</t>
  </si>
  <si>
    <t>Use wildcards to calculate sales where product contains “lap”</t>
  </si>
  <si>
    <t>SECTION C: Logical Functions</t>
  </si>
  <si>
    <t>Create a new column Sales_Level:
High → Sales ≥ 60000
Medium → 30000–59999
Low → &lt; 30000</t>
  </si>
  <si>
    <t>Create a column Bonus_Eligible:
Sales &gt; 50000 AND Region = East → Yes
Else → No</t>
  </si>
  <si>
    <t>Create a column using OR logic (example: Region East OR North)</t>
  </si>
  <si>
    <t>Rewrite the classification using IFS instead of nested IF</t>
  </si>
  <si>
    <t>SECTION D: Text &amp; Data Cleaning</t>
  </si>
  <si>
    <t>Clean Customer_Name:
Remove extra spaces
Convert to proper case</t>
  </si>
  <si>
    <t>Create a column</t>
  </si>
  <si>
    <t>Name_Length</t>
  </si>
  <si>
    <t>showing number of characters</t>
  </si>
  <si>
    <t>Extract first name from</t>
  </si>
  <si>
    <t>Customer_Name</t>
  </si>
  <si>
    <t>Extract last name (where possible)</t>
  </si>
  <si>
    <t>Employee_Name</t>
  </si>
  <si>
    <t>Department</t>
  </si>
  <si>
    <t>Today's Date</t>
  </si>
  <si>
    <t>Current Date &amp; Time</t>
  </si>
  <si>
    <t>Arun Kumar</t>
  </si>
  <si>
    <t>Priya Sharma</t>
  </si>
  <si>
    <t>Marketing</t>
  </si>
  <si>
    <t xml:space="preserve">Ravi Verma </t>
  </si>
  <si>
    <t xml:space="preserve">Amit Patel </t>
  </si>
  <si>
    <t>Support</t>
  </si>
  <si>
    <t xml:space="preserve">Pooja Sharma </t>
  </si>
  <si>
    <t>SECTION E: Lookup</t>
  </si>
  <si>
    <t>SECTION F: Date Functions</t>
  </si>
  <si>
    <t>SECTION G: Final</t>
  </si>
  <si>
    <r>
      <t xml:space="preserve">Fetch </t>
    </r>
    <r>
      <rPr>
        <b/>
        <sz val="11"/>
        <color theme="1"/>
        <rFont val="Aptos Narrow"/>
        <family val="2"/>
        <scheme val="minor"/>
      </rPr>
      <t>Employee_Name</t>
    </r>
    <r>
      <rPr>
        <sz val="11"/>
        <color theme="1"/>
        <rFont val="Aptos Narrow"/>
        <family val="2"/>
        <scheme val="minor"/>
      </rPr>
      <t xml:space="preserve"> from</t>
    </r>
  </si>
  <si>
    <t>Create a column showing today’s date</t>
  </si>
  <si>
    <t>Apply all filters</t>
  </si>
  <si>
    <t>Employees</t>
  </si>
  <si>
    <t>control + Shift + l</t>
  </si>
  <si>
    <t>sheet</t>
  </si>
  <si>
    <r>
      <t xml:space="preserve">Fetch </t>
    </r>
    <r>
      <rPr>
        <b/>
        <sz val="11"/>
        <color theme="1"/>
        <rFont val="Aptos Narrow"/>
        <family val="2"/>
        <scheme val="minor"/>
      </rPr>
      <t>Department</t>
    </r>
    <r>
      <rPr>
        <sz val="11"/>
        <color theme="1"/>
        <rFont val="Aptos Narrow"/>
        <family val="2"/>
        <scheme val="minor"/>
      </rPr>
      <t xml:space="preserve"> from</t>
    </r>
  </si>
  <si>
    <t>Create a column showing current date &amp; time</t>
  </si>
  <si>
    <t>Sort sales from highest to lowest</t>
  </si>
  <si>
    <t>What happens if an Employee_ID is not found? (handle it)</t>
  </si>
  <si>
    <t>Make the sheet readable (bold headers, basic formatting)</t>
  </si>
  <si>
    <t>"Not Found"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</si>
</sst>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22" fontId="0" fillId="0" borderId="0" xfId="0" applyNumberFormat="1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6">
    <dxf>
      <numFmt numFmtId="27" formatCode="m/d/yyyy\ h:mm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alignment horizontal="general" vertical="bottom" textRotation="0" wrapText="1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A8F85-A078-4E96-890D-16D85D671971}" name="Table1" displayName="Table1" ref="A1:N9" totalsRowShown="0" headerRowDxfId="5">
  <autoFilter ref="A1:N9" xr:uid="{51FA8F85-A078-4E96-890D-16D85D671971}"/>
  <sortState xmlns:xlrd2="http://schemas.microsoft.com/office/spreadsheetml/2017/richdata2" ref="A2:N9">
    <sortCondition descending="1" ref="F1:F9"/>
  </sortState>
  <tableColumns count="14">
    <tableColumn id="1" xr3:uid="{387537C5-6A84-439A-BDFD-E4839FC6BB5C}" name="Order_ID "/>
    <tableColumn id="2" xr3:uid="{0BD7BBD7-234A-4B56-BEA4-2E359C7D044F}" name="Order_Date" dataDxfId="4"/>
    <tableColumn id="3" xr3:uid="{E570939F-9EE1-40DC-B6F1-838C57334DC6}" name="Region"/>
    <tableColumn id="4" xr3:uid="{DAF3B6A0-4BE9-4DAE-99A5-B03F620D77C1}" name=" Product"/>
    <tableColumn id="5" xr3:uid="{DD6C9067-48AA-494B-A014-8F82A839422D}" name="Customer_Name "/>
    <tableColumn id="6" xr3:uid="{FE3DE339-5919-40CB-AA15-76C7FC2B9136}" name="Sales"/>
    <tableColumn id="7" xr3:uid="{41E560CA-FF88-484B-8AB8-A93C03156040}" name="Employee_ID"/>
    <tableColumn id="8" xr3:uid="{EDB23962-5696-41C6-8404-EBE062788806}" name="Sales_Level" dataDxfId="3">
      <calculatedColumnFormula>IF(F2&gt;=60000,"High Sales", IF(F2&gt;=30000, "Medium Sales", "Low Sales"))</calculatedColumnFormula>
    </tableColumn>
    <tableColumn id="9" xr3:uid="{B4939EFA-8929-4772-B5F4-0BC8691F674A}" name="Bonus_Eligible">
      <calculatedColumnFormula>IF(AND(F2&gt;50000,C2="East"),"Yes", "No")</calculatedColumnFormula>
    </tableColumn>
    <tableColumn id="10" xr3:uid="{0270E512-B3BD-42FD-B7BD-94F74C7792E1}" name="Region East or North">
      <calculatedColumnFormula>IF(OR(C2="East", C2="North"),"Yes", "No")</calculatedColumnFormula>
    </tableColumn>
    <tableColumn id="11" xr3:uid="{27EC0F37-E8A2-4C32-94F4-6911C597502E}" name="Clean Customer_Name">
      <calculatedColumnFormula>PROPER(TRIM(E2))</calculatedColumnFormula>
    </tableColumn>
    <tableColumn id="12" xr3:uid="{EFD092CB-9B90-40A8-A2D8-0682AA3D1FB3}" name="Name_length">
      <calculatedColumnFormula>LEN(E2)</calculatedColumnFormula>
    </tableColumn>
    <tableColumn id="13" xr3:uid="{94F1A8DC-8A9A-42ED-A099-D8CAA5190070}" name="First_Name">
      <calculatedColumnFormula>LEFT(E2,FIND(" ", E2&amp; " ")-1)</calculatedColumnFormula>
    </tableColumn>
    <tableColumn id="14" xr3:uid="{3B5D161D-98C2-42EA-A541-D33FAA40445D}" name="Last _Name">
      <calculatedColumnFormula>RIGHT(E2,LEN(E2)-FIND(" ", E2))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7775A0-7CDF-46C2-8B77-CB4666B2D7B6}" name="Table2" displayName="Table2" ref="A1:E6" totalsRowShown="0" headerRowDxfId="2">
  <autoFilter ref="A1:E6" xr:uid="{DB7775A0-7CDF-46C2-8B77-CB4666B2D7B6}"/>
  <tableColumns count="5">
    <tableColumn id="1" xr3:uid="{73BDE752-8E29-4939-AA1E-346F4D58F821}" name="Employee_ID"/>
    <tableColumn id="2" xr3:uid="{48B772A2-4770-4A9C-A05B-A7AC73950E24}" name="Employee_Name"/>
    <tableColumn id="3" xr3:uid="{B0C1F334-19A6-4D8A-AA84-0C8083404106}" name="Department"/>
    <tableColumn id="4" xr3:uid="{037188DF-31BC-46CE-B66A-FEEB971AE542}" name="Today's Date" dataDxfId="1">
      <calculatedColumnFormula>TODAY()</calculatedColumnFormula>
    </tableColumn>
    <tableColumn id="5" xr3:uid="{94783A23-368C-4642-97C4-45AF1642880F}" name="Current Date &amp; Time" dataDxfId="0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workbookViewId="0">
      <selection activeCell="C67" sqref="C67"/>
    </sheetView>
  </sheetViews>
  <sheetFormatPr defaultRowHeight="15"/>
  <cols>
    <col min="1" max="1" width="24.85546875" customWidth="1"/>
    <col min="2" max="2" width="36.5703125" bestFit="1" customWidth="1"/>
    <col min="4" max="4" width="10.5703125" bestFit="1" customWidth="1"/>
    <col min="5" max="5" width="18.42578125" bestFit="1" customWidth="1"/>
    <col min="7" max="7" width="14.7109375" bestFit="1" customWidth="1"/>
    <col min="8" max="8" width="36.5703125" bestFit="1" customWidth="1"/>
    <col min="9" max="9" width="18.42578125" bestFit="1" customWidth="1"/>
    <col min="10" max="10" width="21" bestFit="1" customWidth="1"/>
    <col min="11" max="11" width="23.7109375" bestFit="1" customWidth="1"/>
    <col min="12" max="12" width="14.85546875" bestFit="1" customWidth="1"/>
    <col min="13" max="13" width="24.140625" bestFit="1" customWidth="1"/>
    <col min="14" max="14" width="32.28515625" customWidth="1"/>
  </cols>
  <sheetData>
    <row r="1" spans="1:14">
      <c r="A1" s="6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8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>
        <v>204</v>
      </c>
      <c r="B2" s="2">
        <v>45870</v>
      </c>
      <c r="C2" t="s">
        <v>14</v>
      </c>
      <c r="D2" t="s">
        <v>15</v>
      </c>
      <c r="E2" t="s">
        <v>16</v>
      </c>
      <c r="F2">
        <v>72000</v>
      </c>
      <c r="G2" t="s">
        <v>17</v>
      </c>
      <c r="H2" s="1" t="str">
        <f>IF(F2&gt;=60000,"High Sales", IF(F2&gt;=30000, "Medium Sales", "Low Sales"))</f>
        <v>High Sales</v>
      </c>
      <c r="I2" t="str">
        <f>IF(AND(F2&gt;50000,C2="East"),"Yes", "No")</f>
        <v>Yes</v>
      </c>
      <c r="J2" t="str">
        <f>IF(OR(C2="East", C2="North"),"Yes", "No")</f>
        <v>Yes</v>
      </c>
      <c r="K2" t="str">
        <f>PROPER(TRIM(E2))</f>
        <v>Neha Singh</v>
      </c>
      <c r="L2">
        <f>LEN(E2)</f>
        <v>10</v>
      </c>
      <c r="M2" t="str">
        <f>LEFT(E2,FIND(" ", E2&amp; " ")-1)</f>
        <v>Neha</v>
      </c>
      <c r="N2" t="str">
        <f>RIGHT(E2,LEN(E2)-FIND(" ", E2))</f>
        <v>Singh</v>
      </c>
    </row>
    <row r="3" spans="1:14">
      <c r="A3">
        <v>201</v>
      </c>
      <c r="B3" s="2">
        <v>45778</v>
      </c>
      <c r="C3" t="s">
        <v>14</v>
      </c>
      <c r="D3" t="s">
        <v>15</v>
      </c>
      <c r="E3" t="s">
        <v>18</v>
      </c>
      <c r="F3">
        <v>65000</v>
      </c>
      <c r="G3" t="s">
        <v>17</v>
      </c>
      <c r="H3" s="1" t="str">
        <f>IF(F3&gt;=60000,"High Sales", IF(F3&gt;=30000, "Medium Sales", "Low Sales"))</f>
        <v>High Sales</v>
      </c>
      <c r="I3" t="str">
        <f>IF(AND(F3&gt;50000,C3="East"),"Yes", "No")</f>
        <v>Yes</v>
      </c>
      <c r="J3" t="str">
        <f>IF(OR(C3="East", C3="North"),"Yes", "No")</f>
        <v>Yes</v>
      </c>
      <c r="K3" t="str">
        <f>PROPER(TRIM(E3))</f>
        <v>Arun Kumar</v>
      </c>
      <c r="L3">
        <f>LEN(E3)</f>
        <v>10</v>
      </c>
      <c r="M3" t="str">
        <f>LEFT(E3,FIND(" ", E3&amp; " ")-1)</f>
        <v>arun</v>
      </c>
      <c r="N3" t="str">
        <f>RIGHT(E3,LEN(E3)-FIND(" ", E3))</f>
        <v>kumar</v>
      </c>
    </row>
    <row r="4" spans="1:14">
      <c r="A4">
        <v>207</v>
      </c>
      <c r="B4" s="2">
        <v>45962</v>
      </c>
      <c r="C4" t="s">
        <v>19</v>
      </c>
      <c r="D4" t="s">
        <v>15</v>
      </c>
      <c r="E4" t="s">
        <v>20</v>
      </c>
      <c r="F4">
        <v>58000</v>
      </c>
      <c r="G4" t="s">
        <v>21</v>
      </c>
      <c r="H4" s="1" t="str">
        <f>IF(F4&gt;=60000,"High Sales", IF(F4&gt;=30000, "Medium Sales", "Low Sales"))</f>
        <v>Medium Sales</v>
      </c>
      <c r="I4" t="str">
        <f>IF(AND(F4&gt;50000,C4="East"),"Yes", "No")</f>
        <v>No</v>
      </c>
      <c r="J4" t="str">
        <f>IF(OR(C4="East", C4="North"),"Yes", "No")</f>
        <v>Yes</v>
      </c>
      <c r="K4" t="str">
        <f>PROPER(TRIM(E4))</f>
        <v>Pooja Sharma</v>
      </c>
      <c r="L4">
        <f>LEN(E4)</f>
        <v>12</v>
      </c>
      <c r="M4" t="str">
        <f>LEFT(E4,FIND(" ", E4&amp; " ")-1)</f>
        <v>pooja</v>
      </c>
      <c r="N4" t="str">
        <f>RIGHT(E4,LEN(E4)-FIND(" ", E4))</f>
        <v>sharma</v>
      </c>
    </row>
    <row r="5" spans="1:14">
      <c r="A5">
        <v>206</v>
      </c>
      <c r="B5" s="2">
        <v>45931</v>
      </c>
      <c r="C5" t="s">
        <v>22</v>
      </c>
      <c r="D5" t="s">
        <v>23</v>
      </c>
      <c r="E5" t="s">
        <v>24</v>
      </c>
      <c r="F5">
        <v>41000</v>
      </c>
      <c r="G5" t="s">
        <v>25</v>
      </c>
      <c r="H5" s="1" t="str">
        <f>IF(F5&gt;=60000,"High Sales", IF(F5&gt;=30000, "Medium Sales", "Low Sales"))</f>
        <v>Medium Sales</v>
      </c>
      <c r="I5" t="str">
        <f>IF(AND(F5&gt;50000,C5="East"),"Yes", "No")</f>
        <v>No</v>
      </c>
      <c r="J5" t="str">
        <f>IF(OR(C5="East", C5="North"),"Yes", "No")</f>
        <v>No</v>
      </c>
      <c r="K5" t="str">
        <f>PROPER(TRIM(E5))</f>
        <v>Suresh K</v>
      </c>
      <c r="L5">
        <f>LEN(E5)</f>
        <v>8</v>
      </c>
      <c r="M5" t="str">
        <f>LEFT(E5,FIND(" ", E5&amp; " ")-1)</f>
        <v>SURESH</v>
      </c>
      <c r="N5" t="str">
        <f>RIGHT(E5,LEN(E5)-FIND(" ", E5))</f>
        <v>K</v>
      </c>
    </row>
    <row r="6" spans="1:14">
      <c r="A6">
        <v>202</v>
      </c>
      <c r="B6" s="2">
        <v>45809</v>
      </c>
      <c r="C6" t="s">
        <v>22</v>
      </c>
      <c r="D6" t="s">
        <v>26</v>
      </c>
      <c r="E6" t="s">
        <v>27</v>
      </c>
      <c r="F6">
        <v>32000</v>
      </c>
      <c r="G6" t="s">
        <v>25</v>
      </c>
      <c r="H6" s="1" t="str">
        <f>IF(F6&gt;=60000,"High Sales", IF(F6&gt;=30000, "Medium Sales", "Low Sales"))</f>
        <v>Medium Sales</v>
      </c>
      <c r="I6" t="str">
        <f>IF(AND(F6&gt;50000,C6="East"),"Yes", "No")</f>
        <v>No</v>
      </c>
      <c r="J6" t="str">
        <f>IF(OR(C6="East", C6="North"),"Yes", "No")</f>
        <v>No</v>
      </c>
      <c r="K6" t="str">
        <f>PROPER(TRIM(E6))</f>
        <v>Priya Sharma</v>
      </c>
      <c r="L6">
        <f>LEN(E6)</f>
        <v>12</v>
      </c>
      <c r="M6" t="str">
        <f>LEFT(E6,FIND(" ", E6&amp; " ")-1)</f>
        <v>PRIYA</v>
      </c>
      <c r="N6" t="str">
        <f>RIGHT(E6,LEN(E6)-FIND(" ", E6))</f>
        <v>SHARMA</v>
      </c>
    </row>
    <row r="7" spans="1:14">
      <c r="A7">
        <v>208</v>
      </c>
      <c r="B7" s="2">
        <v>45992</v>
      </c>
      <c r="C7" t="s">
        <v>14</v>
      </c>
      <c r="D7" t="s">
        <v>26</v>
      </c>
      <c r="E7" t="s">
        <v>28</v>
      </c>
      <c r="F7">
        <v>30000</v>
      </c>
      <c r="G7" t="s">
        <v>29</v>
      </c>
      <c r="H7" s="1" t="str">
        <f>IF(F7&gt;=60000,"High Sales", IF(F7&gt;=30000, "Medium Sales", "Low Sales"))</f>
        <v>Medium Sales</v>
      </c>
      <c r="I7" t="str">
        <f>IF(AND(F7&gt;50000,C7="East"),"Yes", "No")</f>
        <v>No</v>
      </c>
      <c r="J7" t="str">
        <f>IF(OR(C7="East", C7="North"),"Yes", "No")</f>
        <v>Yes</v>
      </c>
      <c r="K7" t="str">
        <f>PROPER(TRIM(E7))</f>
        <v>Rahul Mehta</v>
      </c>
      <c r="L7">
        <f>LEN(E7)</f>
        <v>11</v>
      </c>
      <c r="M7" t="str">
        <f>LEFT(E7,FIND(" ", E7&amp; " ")-1)</f>
        <v>rahul</v>
      </c>
      <c r="N7" t="str">
        <f>RIGHT(E7,LEN(E7)-FIND(" ", E7))</f>
        <v>mehta</v>
      </c>
    </row>
    <row r="8" spans="1:14">
      <c r="A8">
        <v>203</v>
      </c>
      <c r="B8" s="2">
        <v>45839</v>
      </c>
      <c r="C8" t="s">
        <v>19</v>
      </c>
      <c r="D8" t="s">
        <v>23</v>
      </c>
      <c r="E8" t="s">
        <v>30</v>
      </c>
      <c r="F8">
        <v>28000</v>
      </c>
      <c r="G8" t="s">
        <v>29</v>
      </c>
      <c r="H8" s="1" t="str">
        <f>IF(F8&gt;=60000,"High Sales", IF(F8&gt;=30000, "Medium Sales", "Low Sales"))</f>
        <v>Low Sales</v>
      </c>
      <c r="I8" t="str">
        <f>IF(AND(F8&gt;50000,C8="East"),"Yes", "No")</f>
        <v>No</v>
      </c>
      <c r="J8" t="str">
        <f>IF(OR(C8="East", C8="North"),"Yes", "No")</f>
        <v>Yes</v>
      </c>
      <c r="K8" t="str">
        <f>PROPER(TRIM(E8))</f>
        <v>Ravi Verma</v>
      </c>
      <c r="L8">
        <f>LEN(E8)</f>
        <v>10</v>
      </c>
      <c r="M8" t="str">
        <f>LEFT(E8,FIND(" ", E8&amp; " ")-1)</f>
        <v>ravi</v>
      </c>
      <c r="N8" t="str">
        <f>RIGHT(E8,LEN(E8)-FIND(" ", E8))</f>
        <v>verma</v>
      </c>
    </row>
    <row r="9" spans="1:14">
      <c r="A9">
        <v>205</v>
      </c>
      <c r="B9" s="2">
        <v>45901</v>
      </c>
      <c r="C9" t="s">
        <v>31</v>
      </c>
      <c r="D9" t="s">
        <v>26</v>
      </c>
      <c r="E9" t="s">
        <v>32</v>
      </c>
      <c r="F9">
        <v>25000</v>
      </c>
      <c r="G9" t="s">
        <v>33</v>
      </c>
      <c r="H9" s="1" t="str">
        <f>IF(F9&gt;=60000,"High Sales", IF(F9&gt;=30000, "Medium Sales", "Low Sales"))</f>
        <v>Low Sales</v>
      </c>
      <c r="I9" t="str">
        <f>IF(AND(F9&gt;50000,C9="East"),"Yes", "No")</f>
        <v>No</v>
      </c>
      <c r="J9" t="str">
        <f>IF(OR(C9="East", C9="North"),"Yes", "No")</f>
        <v>No</v>
      </c>
      <c r="K9" t="str">
        <f>PROPER(TRIM(E9))</f>
        <v>Amit Patel</v>
      </c>
      <c r="L9">
        <f>LEN(E9)</f>
        <v>10</v>
      </c>
      <c r="M9" t="str">
        <f>LEFT(E9,FIND(" ", E9&amp; " ")-1)</f>
        <v>amit</v>
      </c>
      <c r="N9" t="str">
        <f>RIGHT(E9,LEN(E9)-FIND(" ", E9))</f>
        <v>patel</v>
      </c>
    </row>
    <row r="11" spans="1:14">
      <c r="B11" s="4" t="s">
        <v>34</v>
      </c>
    </row>
    <row r="12" spans="1:14">
      <c r="B12" s="4"/>
    </row>
    <row r="13" spans="1:14">
      <c r="B13" s="4" t="s">
        <v>35</v>
      </c>
    </row>
    <row r="14" spans="1:14">
      <c r="A14">
        <v>1</v>
      </c>
      <c r="B14" t="s">
        <v>36</v>
      </c>
    </row>
    <row r="15" spans="1:14">
      <c r="B15">
        <f>SUM(F2:F9)</f>
        <v>351000</v>
      </c>
    </row>
    <row r="17" spans="1:3">
      <c r="A17">
        <v>2</v>
      </c>
      <c r="B17" t="s">
        <v>37</v>
      </c>
    </row>
    <row r="18" spans="1:3">
      <c r="B18">
        <f>AVERAGE(F2:F9)</f>
        <v>43875</v>
      </c>
    </row>
    <row r="20" spans="1:3">
      <c r="A20">
        <v>3</v>
      </c>
      <c r="B20" t="s">
        <v>38</v>
      </c>
    </row>
    <row r="21" spans="1:3">
      <c r="B21">
        <f>MAX(F2:F9)</f>
        <v>72000</v>
      </c>
      <c r="C21" t="s">
        <v>39</v>
      </c>
    </row>
    <row r="22" spans="1:3">
      <c r="B22">
        <f>MIN(F2:F9)</f>
        <v>25000</v>
      </c>
      <c r="C22" t="s">
        <v>40</v>
      </c>
    </row>
    <row r="23" spans="1:3">
      <c r="A23">
        <v>4</v>
      </c>
      <c r="B23" t="s">
        <v>41</v>
      </c>
    </row>
    <row r="24" spans="1:3">
      <c r="B24">
        <f>LARGE(F2:F9,1)</f>
        <v>72000</v>
      </c>
    </row>
    <row r="25" spans="1:3">
      <c r="B25">
        <f>LARGE(F2:F9,2)</f>
        <v>65000</v>
      </c>
    </row>
    <row r="27" spans="1:3">
      <c r="A27">
        <v>5</v>
      </c>
      <c r="B27" t="s">
        <v>42</v>
      </c>
    </row>
    <row r="28" spans="1:3">
      <c r="B28">
        <f>COUNT(A2:A9)</f>
        <v>8</v>
      </c>
    </row>
    <row r="30" spans="1:3" ht="29.25">
      <c r="A30">
        <v>6</v>
      </c>
      <c r="B30" s="1" t="s">
        <v>43</v>
      </c>
    </row>
    <row r="31" spans="1:3">
      <c r="B31">
        <f>COUNTA(E2:E9)</f>
        <v>8</v>
      </c>
    </row>
    <row r="33" spans="1:2">
      <c r="B33" s="3" t="s">
        <v>44</v>
      </c>
    </row>
    <row r="35" spans="1:2">
      <c r="A35">
        <v>7</v>
      </c>
      <c r="B35" t="s">
        <v>45</v>
      </c>
    </row>
    <row r="36" spans="1:2">
      <c r="B36">
        <f>SUMIF(C2:C9,"East",F2:F9)</f>
        <v>167000</v>
      </c>
    </row>
    <row r="38" spans="1:2">
      <c r="A38">
        <v>8</v>
      </c>
      <c r="B38" t="s">
        <v>46</v>
      </c>
    </row>
    <row r="39" spans="1:2">
      <c r="B39">
        <f>SUMIF(D2:D9,"Laptop",F2:F9)</f>
        <v>195000</v>
      </c>
    </row>
    <row r="41" spans="1:2">
      <c r="A41">
        <v>9</v>
      </c>
      <c r="B41" t="s">
        <v>47</v>
      </c>
    </row>
    <row r="42" spans="1:2">
      <c r="B42">
        <f>SUMIFS(F2:F9,C2:C9,"East",D2:D9,"Laptop")</f>
        <v>137000</v>
      </c>
    </row>
    <row r="44" spans="1:2" ht="29.25">
      <c r="A44">
        <v>10</v>
      </c>
      <c r="B44" s="1" t="s">
        <v>48</v>
      </c>
    </row>
    <row r="45" spans="1:2">
      <c r="B45">
        <f>SUMIF(D2:D9,"*lap*",F2:F9)</f>
        <v>195000</v>
      </c>
    </row>
    <row r="47" spans="1:2">
      <c r="B47" s="4" t="s">
        <v>49</v>
      </c>
    </row>
    <row r="49" spans="1:2" ht="101.25">
      <c r="A49">
        <v>11</v>
      </c>
      <c r="B49" s="1" t="s">
        <v>50</v>
      </c>
    </row>
    <row r="51" spans="1:2" ht="72.75">
      <c r="A51">
        <v>12</v>
      </c>
      <c r="B51" s="1" t="s">
        <v>51</v>
      </c>
    </row>
    <row r="53" spans="1:2" ht="29.25">
      <c r="A53">
        <v>13</v>
      </c>
      <c r="B53" s="1" t="s">
        <v>52</v>
      </c>
    </row>
    <row r="56" spans="1:2" ht="29.25">
      <c r="A56">
        <v>14</v>
      </c>
      <c r="B56" s="1" t="s">
        <v>53</v>
      </c>
    </row>
    <row r="57" spans="1:2" ht="29.25">
      <c r="B57" s="1" t="str" cm="1">
        <f t="array" ref="B57">_xlfn.IFS(F2&gt;=60000, "High Sales", F2&gt;=30000, "Medium Sales", F2&lt;30000, "Low Sales")</f>
        <v>High Sales</v>
      </c>
    </row>
    <row r="59" spans="1:2">
      <c r="B59" s="4" t="s">
        <v>54</v>
      </c>
    </row>
    <row r="61" spans="1:2" ht="72.75">
      <c r="A61">
        <v>15</v>
      </c>
      <c r="B61" s="1" t="s">
        <v>55</v>
      </c>
    </row>
    <row r="62" spans="1:2">
      <c r="B62" t="str">
        <f>PROPER(TRIM(E2))</f>
        <v>Neha Singh</v>
      </c>
    </row>
    <row r="64" spans="1:2">
      <c r="A64">
        <v>16</v>
      </c>
      <c r="B64" t="s">
        <v>56</v>
      </c>
    </row>
    <row r="65" spans="1:2">
      <c r="B65" t="s">
        <v>57</v>
      </c>
    </row>
    <row r="66" spans="1:2">
      <c r="B66" t="s">
        <v>58</v>
      </c>
    </row>
    <row r="69" spans="1:2">
      <c r="A69">
        <v>17</v>
      </c>
      <c r="B69" t="s">
        <v>59</v>
      </c>
    </row>
    <row r="70" spans="1:2">
      <c r="B70" t="s">
        <v>60</v>
      </c>
    </row>
    <row r="71" spans="1:2">
      <c r="B71" t="str">
        <f>LEFT(E2, FIND(" ", E2&amp; " ") -1)</f>
        <v>Neha</v>
      </c>
    </row>
    <row r="72" spans="1:2">
      <c r="A72">
        <v>18</v>
      </c>
      <c r="B72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60B2-65AF-42DF-8686-FA354DBC8CD3}">
  <dimension ref="A1:J26"/>
  <sheetViews>
    <sheetView tabSelected="1" workbookViewId="0">
      <selection sqref="A1:E6"/>
    </sheetView>
  </sheetViews>
  <sheetFormatPr defaultRowHeight="15"/>
  <cols>
    <col min="1" max="1" width="14.7109375" bestFit="1" customWidth="1"/>
    <col min="2" max="2" width="18" bestFit="1" customWidth="1"/>
    <col min="3" max="3" width="13.85546875" bestFit="1" customWidth="1"/>
    <col min="4" max="4" width="14.42578125" bestFit="1" customWidth="1"/>
    <col min="5" max="5" width="32.7109375" customWidth="1"/>
    <col min="7" max="7" width="36.5703125" bestFit="1" customWidth="1"/>
    <col min="9" max="10" width="36.5703125" bestFit="1" customWidth="1"/>
  </cols>
  <sheetData>
    <row r="1" spans="1:9">
      <c r="A1" s="4" t="s">
        <v>6</v>
      </c>
      <c r="B1" s="4" t="s">
        <v>62</v>
      </c>
      <c r="C1" s="4" t="s">
        <v>63</v>
      </c>
      <c r="D1" s="4" t="s">
        <v>64</v>
      </c>
      <c r="E1" s="4" t="s">
        <v>65</v>
      </c>
    </row>
    <row r="2" spans="1:9">
      <c r="A2" t="s">
        <v>17</v>
      </c>
      <c r="B2" t="s">
        <v>66</v>
      </c>
      <c r="C2" t="s">
        <v>5</v>
      </c>
      <c r="D2" s="2">
        <f ca="1">TODAY()</f>
        <v>46059</v>
      </c>
      <c r="E2" s="5">
        <f ca="1">NOW()</f>
        <v>46059.561521064817</v>
      </c>
    </row>
    <row r="3" spans="1:9">
      <c r="A3" t="s">
        <v>25</v>
      </c>
      <c r="B3" t="s">
        <v>67</v>
      </c>
      <c r="C3" t="s">
        <v>68</v>
      </c>
      <c r="D3" s="2">
        <f ca="1">TODAY()</f>
        <v>46059</v>
      </c>
      <c r="E3" s="5">
        <f ca="1">NOW()</f>
        <v>46059.561521064817</v>
      </c>
    </row>
    <row r="4" spans="1:9">
      <c r="A4" t="s">
        <v>29</v>
      </c>
      <c r="B4" t="s">
        <v>69</v>
      </c>
      <c r="C4" t="s">
        <v>5</v>
      </c>
      <c r="D4" s="2">
        <f ca="1">TODAY()</f>
        <v>46059</v>
      </c>
      <c r="E4" s="5">
        <f ca="1">NOW()</f>
        <v>46059.561521064817</v>
      </c>
    </row>
    <row r="5" spans="1:9">
      <c r="A5" t="s">
        <v>33</v>
      </c>
      <c r="B5" t="s">
        <v>70</v>
      </c>
      <c r="C5" t="s">
        <v>71</v>
      </c>
      <c r="D5" s="2">
        <f ca="1">TODAY()</f>
        <v>46059</v>
      </c>
      <c r="E5" s="5">
        <f ca="1">NOW()</f>
        <v>46059.561521064817</v>
      </c>
    </row>
    <row r="6" spans="1:9">
      <c r="A6" t="s">
        <v>21</v>
      </c>
      <c r="B6" t="s">
        <v>72</v>
      </c>
      <c r="C6" t="s">
        <v>5</v>
      </c>
      <c r="D6" s="2">
        <f ca="1">TODAY()</f>
        <v>46059</v>
      </c>
      <c r="E6" s="5">
        <f ca="1">NOW()</f>
        <v>46059.561521064817</v>
      </c>
    </row>
    <row r="11" spans="1:9">
      <c r="E11" s="4" t="s">
        <v>73</v>
      </c>
      <c r="G11" s="4" t="s">
        <v>74</v>
      </c>
      <c r="I11" s="4" t="s">
        <v>75</v>
      </c>
    </row>
    <row r="13" spans="1:9">
      <c r="D13">
        <v>1</v>
      </c>
      <c r="E13" t="s">
        <v>76</v>
      </c>
      <c r="F13">
        <v>4</v>
      </c>
      <c r="G13" t="s">
        <v>77</v>
      </c>
      <c r="H13">
        <v>6</v>
      </c>
      <c r="I13" s="6" t="s">
        <v>78</v>
      </c>
    </row>
    <row r="14" spans="1:9">
      <c r="E14" t="s">
        <v>79</v>
      </c>
      <c r="I14" t="s">
        <v>80</v>
      </c>
    </row>
    <row r="15" spans="1:9">
      <c r="E15" t="s">
        <v>81</v>
      </c>
    </row>
    <row r="16" spans="1:9">
      <c r="E16" t="str">
        <f>_xlfn.XLOOKUP("EMP01",Employees!A:A, Employees!B:B,"Not Found")</f>
        <v>Arun Kumar</v>
      </c>
    </row>
    <row r="20" spans="4:10" ht="29.25">
      <c r="D20">
        <v>2</v>
      </c>
      <c r="E20" t="s">
        <v>82</v>
      </c>
      <c r="F20">
        <v>5</v>
      </c>
      <c r="G20" s="1" t="s">
        <v>83</v>
      </c>
      <c r="H20">
        <v>7</v>
      </c>
      <c r="I20" t="s">
        <v>84</v>
      </c>
    </row>
    <row r="21" spans="4:10">
      <c r="E21" t="s">
        <v>79</v>
      </c>
    </row>
    <row r="22" spans="4:10">
      <c r="E22" t="s">
        <v>81</v>
      </c>
    </row>
    <row r="23" spans="4:10">
      <c r="E23" t="str">
        <f>_xlfn.XLOOKUP("EMP02", Employees!A:A, Employees!C:C, "Not Found")</f>
        <v>Marketing</v>
      </c>
    </row>
    <row r="25" spans="4:10" ht="29.25">
      <c r="D25">
        <v>3</v>
      </c>
      <c r="E25" s="1" t="s">
        <v>85</v>
      </c>
      <c r="H25">
        <v>8</v>
      </c>
      <c r="I25" s="1" t="s">
        <v>86</v>
      </c>
      <c r="J25" s="1"/>
    </row>
    <row r="26" spans="4:10">
      <c r="E26" t="s">
        <v>87</v>
      </c>
    </row>
  </sheetData>
  <autoFilter ref="G5" xr:uid="{DFDF60B2-65AF-42DF-8686-FA354DBC8CD3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2026-02-05T16:13:16Z</dcterms:created>
  <dcterms:modified xsi:type="dcterms:W3CDTF">2026-02-06T08:03:19Z</dcterms:modified>
  <cp:category/>
  <cp:contentStatus/>
</cp:coreProperties>
</file>