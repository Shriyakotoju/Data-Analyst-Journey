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3"/>
  <workbookPr/>
  <xr:revisionPtr revIDLastSave="0" documentId="8_{6CBF5A65-DD92-4197-B7D9-EE942F21A0BC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Raw_Data" sheetId="1" r:id="rId1"/>
    <sheet name="Clean_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2" l="1"/>
  <c r="B27" i="2"/>
  <c r="C23" i="2"/>
  <c r="B16" i="2"/>
  <c r="B19" i="2"/>
  <c r="I3" i="2"/>
  <c r="I4" i="2"/>
  <c r="I5" i="2"/>
  <c r="I6" i="2"/>
  <c r="I7" i="2"/>
  <c r="I2" i="2"/>
  <c r="H3" i="2"/>
  <c r="H4" i="2"/>
  <c r="H5" i="2"/>
  <c r="H6" i="2"/>
  <c r="H7" i="2"/>
  <c r="H2" i="2"/>
  <c r="G3" i="2"/>
  <c r="G4" i="2"/>
  <c r="G5" i="2"/>
  <c r="G6" i="2"/>
  <c r="G7" i="2"/>
  <c r="G2" i="2"/>
  <c r="F3" i="2"/>
  <c r="F4" i="2"/>
  <c r="F5" i="2"/>
  <c r="F6" i="2"/>
  <c r="F7" i="2"/>
  <c r="F2" i="2"/>
  <c r="B13" i="2"/>
  <c r="C25" i="2" l="1"/>
  <c r="C24" i="2"/>
</calcChain>
</file>

<file path=xl/sharedStrings.xml><?xml version="1.0" encoding="utf-8"?>
<sst xmlns="http://schemas.openxmlformats.org/spreadsheetml/2006/main" count="59" uniqueCount="30">
  <si>
    <t>Order_ID</t>
  </si>
  <si>
    <t>Customer_Name</t>
  </si>
  <si>
    <t>City</t>
  </si>
  <si>
    <t>Sales</t>
  </si>
  <si>
    <t>Category</t>
  </si>
  <si>
    <t>arun kumar</t>
  </si>
  <si>
    <t>chennai</t>
  </si>
  <si>
    <t>Electronics</t>
  </si>
  <si>
    <t>Priya Sharma</t>
  </si>
  <si>
    <t>Mumbai</t>
  </si>
  <si>
    <t>Furniture</t>
  </si>
  <si>
    <t>RAVI VERMA</t>
  </si>
  <si>
    <t>delhi</t>
  </si>
  <si>
    <t>Amit Patel</t>
  </si>
  <si>
    <t>pooja sharma</t>
  </si>
  <si>
    <t>Arun Kumar</t>
  </si>
  <si>
    <t>Chennai</t>
  </si>
  <si>
    <t>electronics</t>
  </si>
  <si>
    <t>Clean_Customer_Name</t>
  </si>
  <si>
    <t>Clean_City</t>
  </si>
  <si>
    <t>Clean_Category</t>
  </si>
  <si>
    <t>Sales_Clean</t>
  </si>
  <si>
    <t>Q&amp;A</t>
  </si>
  <si>
    <t>How many unique customers?</t>
  </si>
  <si>
    <t>Total sales for Electronics?</t>
  </si>
  <si>
    <t>Average sales per order?</t>
  </si>
  <si>
    <t>Which city has highest sales?</t>
  </si>
  <si>
    <t>Total_Sales</t>
  </si>
  <si>
    <t>Delhi</t>
  </si>
  <si>
    <t>How many missing values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</si>
</sst>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quotePrefix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selection activeCell="E10" sqref="E10"/>
    </sheetView>
  </sheetViews>
  <sheetFormatPr defaultRowHeight="15"/>
  <cols>
    <col min="1" max="1" width="10.28515625" customWidth="1"/>
    <col min="2" max="2" width="15.42578125" bestFit="1" customWidth="1"/>
    <col min="5" max="5" width="10.42578125" bestFit="1" customWidth="1"/>
  </cols>
  <sheetData>
    <row r="1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101</v>
      </c>
      <c r="B2" t="s">
        <v>5</v>
      </c>
      <c r="C2" t="s">
        <v>6</v>
      </c>
      <c r="D2">
        <v>12000</v>
      </c>
      <c r="E2" t="s">
        <v>7</v>
      </c>
    </row>
    <row r="3" spans="1:5">
      <c r="A3" s="1">
        <v>102</v>
      </c>
      <c r="B3" t="s">
        <v>8</v>
      </c>
      <c r="C3" t="s">
        <v>9</v>
      </c>
      <c r="E3" t="s">
        <v>10</v>
      </c>
    </row>
    <row r="4" spans="1:5">
      <c r="A4" s="1">
        <v>103</v>
      </c>
      <c r="B4" t="s">
        <v>11</v>
      </c>
      <c r="C4" t="s">
        <v>12</v>
      </c>
      <c r="D4">
        <v>8500</v>
      </c>
      <c r="E4" t="s">
        <v>7</v>
      </c>
    </row>
    <row r="5" spans="1:5">
      <c r="A5" s="1">
        <v>104</v>
      </c>
      <c r="B5" t="s">
        <v>13</v>
      </c>
      <c r="C5" t="s">
        <v>9</v>
      </c>
      <c r="D5">
        <v>15000</v>
      </c>
      <c r="E5" t="s">
        <v>10</v>
      </c>
    </row>
    <row r="6" spans="1:5">
      <c r="A6" s="1">
        <v>105</v>
      </c>
      <c r="B6" t="s">
        <v>14</v>
      </c>
      <c r="D6">
        <v>9000</v>
      </c>
      <c r="E6" t="s">
        <v>7</v>
      </c>
    </row>
    <row r="7" spans="1:5">
      <c r="A7" s="1">
        <v>106</v>
      </c>
      <c r="B7" t="s">
        <v>15</v>
      </c>
      <c r="C7" t="s">
        <v>16</v>
      </c>
      <c r="D7">
        <v>12000</v>
      </c>
      <c r="E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C1BCC-1759-4B36-91FA-4029C0413AAD}">
  <dimension ref="A1:I31"/>
  <sheetViews>
    <sheetView tabSelected="1" topLeftCell="A20" workbookViewId="0">
      <selection activeCell="B32" sqref="B32"/>
    </sheetView>
  </sheetViews>
  <sheetFormatPr defaultRowHeight="15"/>
  <cols>
    <col min="2" max="2" width="36.5703125" bestFit="1" customWidth="1"/>
    <col min="3" max="3" width="46.140625" customWidth="1"/>
    <col min="5" max="5" width="10.42578125" bestFit="1" customWidth="1"/>
    <col min="6" max="6" width="23.7109375" customWidth="1"/>
    <col min="7" max="7" width="10.140625" bestFit="1" customWidth="1"/>
    <col min="8" max="8" width="14.42578125" bestFit="1" customWidth="1"/>
    <col min="9" max="9" width="11.42578125" bestFit="1" customWidth="1"/>
  </cols>
  <sheetData>
    <row r="1" spans="1:9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18</v>
      </c>
      <c r="G1" t="s">
        <v>19</v>
      </c>
      <c r="H1" t="s">
        <v>20</v>
      </c>
      <c r="I1" t="s">
        <v>21</v>
      </c>
    </row>
    <row r="2" spans="1:9">
      <c r="A2" s="1">
        <v>101</v>
      </c>
      <c r="B2" t="s">
        <v>5</v>
      </c>
      <c r="C2" t="s">
        <v>6</v>
      </c>
      <c r="D2">
        <v>12000</v>
      </c>
      <c r="E2" t="s">
        <v>7</v>
      </c>
      <c r="F2" t="str">
        <f>PROPER(TRIM(B2))</f>
        <v>Arun Kumar</v>
      </c>
      <c r="G2" t="str">
        <f>PROPER(TRIM(C2))</f>
        <v>Chennai</v>
      </c>
      <c r="H2" t="str">
        <f>UPPER(TRIM(E2))</f>
        <v>ELECTRONICS</v>
      </c>
      <c r="I2">
        <f>IF(D2="",0,D2)</f>
        <v>12000</v>
      </c>
    </row>
    <row r="3" spans="1:9">
      <c r="A3" s="1">
        <v>102</v>
      </c>
      <c r="B3" t="s">
        <v>8</v>
      </c>
      <c r="C3" t="s">
        <v>9</v>
      </c>
      <c r="E3" t="s">
        <v>10</v>
      </c>
      <c r="F3" t="str">
        <f t="shared" ref="F3:F7" si="0">PROPER(TRIM(B3))</f>
        <v>Priya Sharma</v>
      </c>
      <c r="G3" t="str">
        <f t="shared" ref="G3:G7" si="1">PROPER(TRIM(C3))</f>
        <v>Mumbai</v>
      </c>
      <c r="H3" t="str">
        <f t="shared" ref="H3:H7" si="2">UPPER(TRIM(E3))</f>
        <v>FURNITURE</v>
      </c>
      <c r="I3">
        <f t="shared" ref="I3:I7" si="3">IF(D3="",0,D3)</f>
        <v>0</v>
      </c>
    </row>
    <row r="4" spans="1:9">
      <c r="A4" s="1">
        <v>103</v>
      </c>
      <c r="B4" t="s">
        <v>11</v>
      </c>
      <c r="C4" t="s">
        <v>12</v>
      </c>
      <c r="D4">
        <v>8500</v>
      </c>
      <c r="E4" t="s">
        <v>7</v>
      </c>
      <c r="F4" t="str">
        <f t="shared" si="0"/>
        <v>Ravi Verma</v>
      </c>
      <c r="G4" t="str">
        <f t="shared" si="1"/>
        <v>Delhi</v>
      </c>
      <c r="H4" t="str">
        <f t="shared" si="2"/>
        <v>ELECTRONICS</v>
      </c>
      <c r="I4">
        <f t="shared" si="3"/>
        <v>8500</v>
      </c>
    </row>
    <row r="5" spans="1:9">
      <c r="A5" s="1">
        <v>104</v>
      </c>
      <c r="B5" t="s">
        <v>13</v>
      </c>
      <c r="C5" t="s">
        <v>9</v>
      </c>
      <c r="D5">
        <v>15000</v>
      </c>
      <c r="E5" t="s">
        <v>10</v>
      </c>
      <c r="F5" t="str">
        <f t="shared" si="0"/>
        <v>Amit Patel</v>
      </c>
      <c r="G5" t="str">
        <f t="shared" si="1"/>
        <v>Mumbai</v>
      </c>
      <c r="H5" t="str">
        <f t="shared" si="2"/>
        <v>FURNITURE</v>
      </c>
      <c r="I5">
        <f t="shared" si="3"/>
        <v>15000</v>
      </c>
    </row>
    <row r="6" spans="1:9">
      <c r="A6" s="1">
        <v>105</v>
      </c>
      <c r="B6" t="s">
        <v>14</v>
      </c>
      <c r="D6">
        <v>9000</v>
      </c>
      <c r="E6" t="s">
        <v>7</v>
      </c>
      <c r="F6" t="str">
        <f t="shared" si="0"/>
        <v>Pooja Sharma</v>
      </c>
      <c r="G6" t="str">
        <f t="shared" si="1"/>
        <v/>
      </c>
      <c r="H6" t="str">
        <f t="shared" si="2"/>
        <v>ELECTRONICS</v>
      </c>
      <c r="I6">
        <f t="shared" si="3"/>
        <v>9000</v>
      </c>
    </row>
    <row r="7" spans="1:9">
      <c r="A7" s="1">
        <v>106</v>
      </c>
      <c r="B7" t="s">
        <v>15</v>
      </c>
      <c r="C7" t="s">
        <v>16</v>
      </c>
      <c r="D7">
        <v>12000</v>
      </c>
      <c r="E7" t="s">
        <v>17</v>
      </c>
      <c r="F7" t="str">
        <f t="shared" si="0"/>
        <v>Arun Kumar</v>
      </c>
      <c r="G7" t="str">
        <f t="shared" si="1"/>
        <v>Chennai</v>
      </c>
      <c r="H7" t="str">
        <f t="shared" si="2"/>
        <v>ELECTRONICS</v>
      </c>
      <c r="I7">
        <f t="shared" si="3"/>
        <v>12000</v>
      </c>
    </row>
    <row r="11" spans="1:9">
      <c r="B11" t="s">
        <v>22</v>
      </c>
    </row>
    <row r="12" spans="1:9">
      <c r="A12">
        <v>1</v>
      </c>
      <c r="B12" t="s">
        <v>23</v>
      </c>
    </row>
    <row r="13" spans="1:9">
      <c r="B13">
        <f>COUNTA(_xlfn.UNIQUE(Clean_Data!F2:F7))</f>
        <v>5</v>
      </c>
    </row>
    <row r="15" spans="1:9">
      <c r="A15">
        <v>2</v>
      </c>
      <c r="B15" t="s">
        <v>24</v>
      </c>
    </row>
    <row r="16" spans="1:9">
      <c r="B16">
        <f>SUMIF(E2:E7,"Electronics",D2:D7)</f>
        <v>41500</v>
      </c>
    </row>
    <row r="18" spans="1:3">
      <c r="A18">
        <v>3</v>
      </c>
      <c r="B18" t="s">
        <v>25</v>
      </c>
    </row>
    <row r="19" spans="1:3">
      <c r="B19">
        <f>AVERAGE(D2:D7)</f>
        <v>11300</v>
      </c>
    </row>
    <row r="21" spans="1:3">
      <c r="A21">
        <v>4</v>
      </c>
      <c r="B21" t="s">
        <v>26</v>
      </c>
    </row>
    <row r="22" spans="1:3" ht="29.25">
      <c r="B22" s="2" t="s">
        <v>2</v>
      </c>
      <c r="C22" s="3" t="s">
        <v>27</v>
      </c>
    </row>
    <row r="23" spans="1:3" ht="23.25" customHeight="1">
      <c r="B23" t="s">
        <v>16</v>
      </c>
      <c r="C23" s="4">
        <f>SUMIF(G2:G7,"Chennai",D2:D7)</f>
        <v>24000</v>
      </c>
    </row>
    <row r="24" spans="1:3" ht="27.75" customHeight="1">
      <c r="B24" t="s">
        <v>9</v>
      </c>
      <c r="C24" s="4">
        <f>SUMIF(G2:G7,"Mumbai",D2:D7)</f>
        <v>15000</v>
      </c>
    </row>
    <row r="25" spans="1:3" ht="25.5" customHeight="1">
      <c r="B25" t="s">
        <v>28</v>
      </c>
      <c r="C25" s="4">
        <f>SUMIF(G2:G7,"Delhi",D2:D7)</f>
        <v>8500</v>
      </c>
    </row>
    <row r="27" spans="1:3">
      <c r="B27" t="str">
        <f>INDEX(B23:B25, MATCH(MAX(C23:C25), C23:C25, 0))</f>
        <v>Chennai</v>
      </c>
    </row>
    <row r="30" spans="1:3">
      <c r="A30">
        <v>5</v>
      </c>
      <c r="B30" t="s">
        <v>29</v>
      </c>
    </row>
    <row r="31" spans="1:3">
      <c r="B31">
        <f>COUNTBLANK(A1:I7)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2026-02-06T10:45:08Z</dcterms:created>
  <dcterms:modified xsi:type="dcterms:W3CDTF">2026-02-06T13:18:04Z</dcterms:modified>
  <cp:category/>
  <cp:contentStatus/>
</cp:coreProperties>
</file>